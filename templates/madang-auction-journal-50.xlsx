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 안내" sheetId="1" state="visible" r:id="rId1"/>
    <sheet name="물건 기록" sheetId="2" state="visible" r:id="rId2"/>
    <sheet name="성과 요약" sheetId="3" state="visible" r:id="rId3"/>
    <sheet name="예측 변경 이력" sheetId="4" state="visible" r:id="rId4"/>
  </sheets>
  <definedNames>
    <definedName name="_xlnm._FilterDatabase" localSheetId="1" hidden="1">'물건 기록'!$A$1:$AD$51</definedName>
    <definedName name="_xlnm._FilterDatabase" localSheetId="3" hidden="1">'예측 변경 이력'!$A$1:$J$51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-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맑은 고딕"/>
      <color rgb="00175A9B"/>
      <sz val="10"/>
    </font>
    <font>
      <name val="맑은 고딕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7FC"/>
      </patternFill>
    </fill>
    <fill>
      <patternFill patternType="solid">
        <fgColor rgb="00FFFFFF"/>
      </patternFill>
    </fill>
    <fill>
      <patternFill patternType="solid">
        <fgColor rgb="00EEF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5" fontId="3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0" fontId="3" fillId="5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모의 입찰 기록장</t>
        </is>
      </c>
      <c r="B1" s="1" t="inlineStr">
        <is>
          <t>madang · 원본 예측으로 시장 판단을 복기합니다</t>
        </is>
      </c>
    </row>
    <row r="2" ht="48" customHeight="1">
      <c r="A2" s="2" t="inlineStr">
        <is>
          <t>시작하기</t>
        </is>
      </c>
      <c r="B2" s="2" t="inlineStr">
        <is>
          <t>파란 칸에 입력하고 회색 수식 칸은 유지하세요. 금액은 원, 면적은 ㎡, 날짜는 날짜 형식입니다. 50회차까지 준비되어 있습니다.</t>
        </is>
      </c>
    </row>
    <row r="3" ht="48" customHeight="1">
      <c r="A3" s="3" t="inlineStr">
        <is>
          <t>한 행의 기준</t>
        </is>
      </c>
      <c r="B3" s="3" t="inlineStr">
        <is>
          <t>법원·사건번호·물건번호·매각기일당 한 행입니다. 유찰 후 다음 기일은 새 행에 기록하세요. 사건번호는 연도를 포함하세요.</t>
        </is>
      </c>
    </row>
    <row r="4" ht="48" customHeight="1">
      <c r="A4" s="2" t="inlineStr">
        <is>
          <t>세 가지 금액</t>
        </is>
      </c>
      <c r="B4" s="2" t="inlineStr">
        <is>
          <t>예상 낙찰가=시장 낙찰가 예측 / 가상 입찰가=내 모의 입찰액 / 내 입찰 상한가=비용·목표 이익을 고려한 최대 지불액</t>
        </is>
      </c>
    </row>
    <row r="5" ht="48" customHeight="1">
      <c r="A5" s="3" t="inlineStr">
        <is>
          <t>상한가</t>
        </is>
      </c>
      <c r="B5" s="3" t="inlineStr">
        <is>
          <t>예상 시세 − 추가 비용 합계 − 목표 이익. 비용이나 목표 이익이 없으면 0을 명시하세요. 세 값이 모두 있어야 계산합니다.</t>
        </is>
      </c>
    </row>
    <row r="6" ht="48" customHeight="1">
      <c r="A6" s="2" t="inlineStr">
        <is>
          <t>결과 전 기록</t>
        </is>
      </c>
      <c r="B6" s="2" t="inlineStr">
        <is>
          <t>결과를 알기 전에 예상 작성일·예상 낙찰가·가상 입찰가·판단 근거를 기록하세요. 매각기일보다 늦은 예측은 평가에서 제외합니다. 같은 날은 결과 확인 전인지 직접 확인하세요.</t>
        </is>
      </c>
    </row>
    <row r="7" ht="48" customHeight="1">
      <c r="A7" s="3" t="inlineStr">
        <is>
          <t>수정 전 값 보존</t>
        </is>
      </c>
      <c r="B7" s="3" t="inlineStr">
        <is>
          <t>물건 기록의 원본 예측은 덮어쓰지 마세요. 수정은 예측 변경 이력에 이전값·변경값·변경 시각·사유를 추가하세요. 요약은 물건 기록의 원본 예측만 평가합니다. 파일 버전 기록도 함께 사용하세요. 자동 잠금·감사 기능은 없습니다.</t>
        </is>
      </c>
    </row>
    <row r="8" ht="48" customHeight="1">
      <c r="A8" s="2" t="inlineStr">
        <is>
          <t>결과 입력</t>
        </is>
      </c>
      <c r="B8" s="2" t="inlineStr">
        <is>
          <t>매각 결과를 선택하고 낙찰이면 실제 낙찰가와 입찰자 수를 기록하세요. 유찰·변경·연기·취하·미확인은 예측 평가에서 제외합니다.</t>
        </is>
      </c>
    </row>
    <row r="9" ht="48" customHeight="1">
      <c r="A9" s="3" t="inlineStr">
        <is>
          <t>평가 대상</t>
        </is>
      </c>
      <c r="B9" s="3" t="inlineStr">
        <is>
          <t>낙찰, 양수인 예상·실제 낙찰가, 예상 작성일≤매각기일, 식별값 완비, 중복 없음인 행만 집계합니다. 원본 예측의 사전 기록 여부는 사용자가 확인합니다.</t>
        </is>
      </c>
    </row>
    <row r="10" ht="48" customHeight="1">
      <c r="A10" s="2" t="inlineStr">
        <is>
          <t>정확도</t>
        </is>
      </c>
      <c r="B10" s="2" t="inlineStr">
        <is>
          <t>예측 오차율=(예상−실제)/실제. 양수는 과대예측, 음수는 과소예측입니다. 평균 절대 오차율이 낮을수록 정확합니다. ±5% 경계를 포함합니다.</t>
        </is>
      </c>
    </row>
    <row r="11" ht="48" customHeight="1">
      <c r="A11" s="3" t="inlineStr">
        <is>
          <t>모의 입찰 비교</t>
        </is>
      </c>
      <c r="B11" s="3" t="inlineStr">
        <is>
          <t>가상 입찰가를 최저가·실제 낙찰가·상한가와 각각 비교합니다. 실제 낙찰가와 동액은 별도 표시합니다. 초과라도 실제 낙찰을 보장하지 않으며 동액은 추첨 등 별도 판단이 필요합니다.</t>
        </is>
      </c>
    </row>
    <row r="12" ht="48" customHeight="1">
      <c r="A12" s="2" t="inlineStr">
        <is>
          <t>수익성 분리</t>
        </is>
      </c>
      <c r="B12" s="2" t="inlineStr">
        <is>
          <t>실제 낙찰가 초과 여부와 상한가 이내 여부를 별개로 확인하세요. 낙찰 가능성과 투자 수익성은 다른 판단입니다.</t>
        </is>
      </c>
    </row>
    <row r="13" ht="48" customHeight="1">
      <c r="A13" s="3" t="inlineStr">
        <is>
          <t>비용과 메모</t>
        </is>
      </c>
      <c r="B13" s="3" t="inlineStr">
        <is>
          <t>추가 비용은 취득세·등기·명도·수리·체납·금융·매도 비용 등을 상세 메모에서 산정하여 합계만 입력하세요. 메모 템플릿은 docs/property-note.md입니다.</t>
        </is>
      </c>
    </row>
    <row r="14" ht="48" customHeight="1">
      <c r="A14" s="2" t="inlineStr">
        <is>
          <t>사용 환경</t>
        </is>
      </c>
      <c r="B14" s="2" t="inlineStr">
        <is>
          <t>Excel에서 열거나 Google Drive에 업로드 후 Google 스프레드시트로 열어 사용하세요. 변환 후 수식·날짜·드롭다운을 확인하세요. 브라우저/Excel 실제 화면 검증은 별도로 필요합니다.</t>
        </is>
      </c>
    </row>
    <row r="15" ht="48" customHeight="1">
      <c r="A15" s="3" t="inlineStr">
        <is>
          <t>20~30건 후</t>
        </is>
      </c>
      <c r="B15" s="3" t="inlineStr">
        <is>
          <t>오차가 큰 원인과 자주 쓰는 메모를 검토한 뒤 전용 도구 필요성을 결정하세요. 실제 물건 데이터나 예시 거래는 포함하지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8" customWidth="1" min="14" max="14"/>
    <col width="20" customWidth="1" min="15" max="15"/>
    <col width="20" customWidth="1" min="16" max="16"/>
    <col width="20" customWidth="1" min="17" max="17"/>
    <col width="20" customWidth="1" min="18" max="18"/>
    <col width="38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38" customWidth="1" min="29" max="29"/>
    <col width="38" customWidth="1" min="30" max="30"/>
  </cols>
  <sheetData>
    <row r="1" ht="32" customHeight="1">
      <c r="A1" s="1" t="inlineStr">
        <is>
          <t>법원</t>
        </is>
      </c>
      <c r="B1" s="1" t="inlineStr">
        <is>
          <t>사건번호</t>
        </is>
      </c>
      <c r="C1" s="1" t="inlineStr">
        <is>
          <t>물건번호</t>
        </is>
      </c>
      <c r="D1" s="1" t="inlineStr">
        <is>
          <t>주소</t>
        </is>
      </c>
      <c r="E1" s="1" t="inlineStr">
        <is>
          <t>유형</t>
        </is>
      </c>
      <c r="F1" s="1" t="inlineStr">
        <is>
          <t>면적(㎡)</t>
        </is>
      </c>
      <c r="G1" s="1" t="inlineStr">
        <is>
          <t>매각기일</t>
        </is>
      </c>
      <c r="H1" s="1" t="inlineStr">
        <is>
          <t>감정가</t>
        </is>
      </c>
      <c r="I1" s="1" t="inlineStr">
        <is>
          <t>최저가</t>
        </is>
      </c>
      <c r="J1" s="1" t="inlineStr">
        <is>
          <t>유찰 횟수</t>
        </is>
      </c>
      <c r="K1" s="1" t="inlineStr">
        <is>
          <t>예상 작성일</t>
        </is>
      </c>
      <c r="L1" s="1" t="inlineStr">
        <is>
          <t>예상 낙찰가</t>
        </is>
      </c>
      <c r="M1" s="1" t="inlineStr">
        <is>
          <t>가상 입찰가</t>
        </is>
      </c>
      <c r="N1" s="1" t="inlineStr">
        <is>
          <t>판단 근거·특징</t>
        </is>
      </c>
      <c r="O1" s="1" t="inlineStr">
        <is>
          <t>예상 시세</t>
        </is>
      </c>
      <c r="P1" s="1" t="inlineStr">
        <is>
          <t>추가 비용 합계</t>
        </is>
      </c>
      <c r="Q1" s="1" t="inlineStr">
        <is>
          <t>목표 이익</t>
        </is>
      </c>
      <c r="R1" s="1" t="inlineStr">
        <is>
          <t>내 입찰 상한가</t>
        </is>
      </c>
      <c r="S1" s="1" t="inlineStr">
        <is>
          <t>상세 메모 링크</t>
        </is>
      </c>
      <c r="T1" s="1" t="inlineStr">
        <is>
          <t>매각 결과</t>
        </is>
      </c>
      <c r="U1" s="1" t="inlineStr">
        <is>
          <t>실제 낙찰가</t>
        </is>
      </c>
      <c r="V1" s="1" t="inlineStr">
        <is>
          <t>입찰자 수</t>
        </is>
      </c>
      <c r="W1" s="1" t="inlineStr">
        <is>
          <t>평가 가능</t>
        </is>
      </c>
      <c r="X1" s="1" t="inlineStr">
        <is>
          <t>예측 오차율</t>
        </is>
      </c>
      <c r="Y1" s="1" t="inlineStr">
        <is>
          <t>절대 오차율</t>
        </is>
      </c>
      <c r="Z1" s="1" t="inlineStr">
        <is>
          <t>최저가 비교</t>
        </is>
      </c>
      <c r="AA1" s="1" t="inlineStr">
        <is>
          <t>실제 낙찰가 비교</t>
        </is>
      </c>
      <c r="AB1" s="1" t="inlineStr">
        <is>
          <t>상한가 비교</t>
        </is>
      </c>
      <c r="AC1" s="1" t="inlineStr">
        <is>
          <t>복기 메모</t>
        </is>
      </c>
      <c r="AD1" s="1" t="inlineStr">
        <is>
          <t>기록 점검</t>
        </is>
      </c>
    </row>
    <row r="2">
      <c r="A2" s="2" t="n"/>
      <c r="B2" s="2" t="n"/>
      <c r="C2" s="2" t="n"/>
      <c r="D2" s="2" t="n"/>
      <c r="E2" s="2" t="n"/>
      <c r="F2" s="2" t="n"/>
      <c r="G2" s="4" t="n"/>
      <c r="H2" s="5" t="n"/>
      <c r="I2" s="5" t="n"/>
      <c r="J2" s="2" t="n"/>
      <c r="K2" s="4" t="n"/>
      <c r="L2" s="5" t="n"/>
      <c r="M2" s="5" t="n"/>
      <c r="N2" s="2" t="n"/>
      <c r="O2" s="5" t="n"/>
      <c r="P2" s="5" t="n"/>
      <c r="Q2" s="5" t="n"/>
      <c r="R2" s="6">
        <f>IF(COUNT(O2:Q2)=3,O2-P2-Q2,"")</f>
        <v/>
      </c>
      <c r="S2" s="2" t="n"/>
      <c r="T2" s="2" t="n"/>
      <c r="U2" s="5" t="n"/>
      <c r="V2" s="2" t="n"/>
      <c r="W2" s="7">
        <f>IF(AND(A2&lt;&gt;"",B2&lt;&gt;"",C2&lt;&gt;"",ISNUMBER(G2),ISNUMBER(K2),K2&lt;=G2,K2&gt;0,T2="낙찰",ISNUMBER(L2),L2&gt;0,ISNUMBER(U2),U2&gt;0,COUNTIFS(A$2:A$51,A2,B$2:B$51,B2,C$2:C$51,C2,G$2:G$51,G2)=1),"평가 가능","")</f>
        <v/>
      </c>
      <c r="X2" s="8">
        <f>IF(W2="평가 가능",(L2-U2)/U2,"")</f>
        <v/>
      </c>
      <c r="Y2" s="8">
        <f>IF(W2="평가 가능",ABS(X2),"")</f>
        <v/>
      </c>
      <c r="Z2" s="7">
        <f>IF(AND(ISNUMBER(M2),M2&gt;0,ISNUMBER(I2)),IF(M2&lt;I2,"최저가 미달",IF(M2=I2,"최저가 동액","최저가 초과")),"")</f>
        <v/>
      </c>
      <c r="AA2" s="7">
        <f>IF(AND(T2="낙찰",ISNUMBER(M2),M2&gt;0,ISNUMBER(U2)),IF(M2&lt;U2,"실제 낙찰가 미만",IF(M2=U2,"실제 낙찰가 동액","실제 낙찰가 초과")),"")</f>
        <v/>
      </c>
      <c r="AB2" s="7">
        <f>IF(AND(ISNUMBER(M2),M2&gt;0,ISNUMBER(R2)),IF(M2&lt;R2,"상한가 미만",IF(M2=R2,"상한가 동액","상한가 초과")),"")</f>
        <v/>
      </c>
      <c r="AC2" s="2" t="n"/>
      <c r="AD2" s="7">
        <f>IF(COUNTA(A2:Q2,S2:V2,AC2)=0,"",IF(OR(A2="",B2="",C2="",NOT(ISNUMBER(G2))),"식별값 확인",IF(COUNTIFS(A$2:A$51,A2,B$2:B$51,B2,C$2:C$51,C2,G$2:G$51,G2)&gt;1,"중복 회차",IF(AND(ISNUMBER(K2),K2&gt;G2),"기일 후 예측",IF(AND(T2="낙찰",W2=""),"평가 입력 확인","")))))</f>
        <v/>
      </c>
    </row>
    <row r="3">
      <c r="A3" s="3" t="n"/>
      <c r="B3" s="3" t="n"/>
      <c r="C3" s="3" t="n"/>
      <c r="D3" s="3" t="n"/>
      <c r="E3" s="3" t="n"/>
      <c r="F3" s="3" t="n"/>
      <c r="G3" s="9" t="n"/>
      <c r="H3" s="10" t="n"/>
      <c r="I3" s="10" t="n"/>
      <c r="J3" s="3" t="n"/>
      <c r="K3" s="9" t="n"/>
      <c r="L3" s="10" t="n"/>
      <c r="M3" s="10" t="n"/>
      <c r="N3" s="3" t="n"/>
      <c r="O3" s="10" t="n"/>
      <c r="P3" s="10" t="n"/>
      <c r="Q3" s="10" t="n"/>
      <c r="R3" s="6">
        <f>IF(COUNT(O3:Q3)=3,O3-P3-Q3,"")</f>
        <v/>
      </c>
      <c r="S3" s="3" t="n"/>
      <c r="T3" s="3" t="n"/>
      <c r="U3" s="10" t="n"/>
      <c r="V3" s="3" t="n"/>
      <c r="W3" s="7">
        <f>IF(AND(A3&lt;&gt;"",B3&lt;&gt;"",C3&lt;&gt;"",ISNUMBER(G3),ISNUMBER(K3),K3&lt;=G3,K3&gt;0,T3="낙찰",ISNUMBER(L3),L3&gt;0,ISNUMBER(U3),U3&gt;0,COUNTIFS(A$2:A$51,A3,B$2:B$51,B3,C$2:C$51,C3,G$2:G$51,G3)=1),"평가 가능","")</f>
        <v/>
      </c>
      <c r="X3" s="8">
        <f>IF(W3="평가 가능",(L3-U3)/U3,"")</f>
        <v/>
      </c>
      <c r="Y3" s="8">
        <f>IF(W3="평가 가능",ABS(X3),"")</f>
        <v/>
      </c>
      <c r="Z3" s="7">
        <f>IF(AND(ISNUMBER(M3),M3&gt;0,ISNUMBER(I3)),IF(M3&lt;I3,"최저가 미달",IF(M3=I3,"최저가 동액","최저가 초과")),"")</f>
        <v/>
      </c>
      <c r="AA3" s="7">
        <f>IF(AND(T3="낙찰",ISNUMBER(M3),M3&gt;0,ISNUMBER(U3)),IF(M3&lt;U3,"실제 낙찰가 미만",IF(M3=U3,"실제 낙찰가 동액","실제 낙찰가 초과")),"")</f>
        <v/>
      </c>
      <c r="AB3" s="7">
        <f>IF(AND(ISNUMBER(M3),M3&gt;0,ISNUMBER(R3)),IF(M3&lt;R3,"상한가 미만",IF(M3=R3,"상한가 동액","상한가 초과")),"")</f>
        <v/>
      </c>
      <c r="AC3" s="3" t="n"/>
      <c r="AD3" s="7">
        <f>IF(COUNTA(A3:Q3,S3:V3,AC3)=0,"",IF(OR(A3="",B3="",C3="",NOT(ISNUMBER(G3))),"식별값 확인",IF(COUNTIFS(A$2:A$51,A3,B$2:B$51,B3,C$2:C$51,C3,G$2:G$51,G3)&gt;1,"중복 회차",IF(AND(ISNUMBER(K3),K3&gt;G3),"기일 후 예측",IF(AND(T3="낙찰",W3=""),"평가 입력 확인","")))))</f>
        <v/>
      </c>
    </row>
    <row r="4">
      <c r="A4" s="2" t="n"/>
      <c r="B4" s="2" t="n"/>
      <c r="C4" s="2" t="n"/>
      <c r="D4" s="2" t="n"/>
      <c r="E4" s="2" t="n"/>
      <c r="F4" s="2" t="n"/>
      <c r="G4" s="4" t="n"/>
      <c r="H4" s="5" t="n"/>
      <c r="I4" s="5" t="n"/>
      <c r="J4" s="2" t="n"/>
      <c r="K4" s="4" t="n"/>
      <c r="L4" s="5" t="n"/>
      <c r="M4" s="5" t="n"/>
      <c r="N4" s="2" t="n"/>
      <c r="O4" s="5" t="n"/>
      <c r="P4" s="5" t="n"/>
      <c r="Q4" s="5" t="n"/>
      <c r="R4" s="6">
        <f>IF(COUNT(O4:Q4)=3,O4-P4-Q4,"")</f>
        <v/>
      </c>
      <c r="S4" s="2" t="n"/>
      <c r="T4" s="2" t="n"/>
      <c r="U4" s="5" t="n"/>
      <c r="V4" s="2" t="n"/>
      <c r="W4" s="7">
        <f>IF(AND(A4&lt;&gt;"",B4&lt;&gt;"",C4&lt;&gt;"",ISNUMBER(G4),ISNUMBER(K4),K4&lt;=G4,K4&gt;0,T4="낙찰",ISNUMBER(L4),L4&gt;0,ISNUMBER(U4),U4&gt;0,COUNTIFS(A$2:A$51,A4,B$2:B$51,B4,C$2:C$51,C4,G$2:G$51,G4)=1),"평가 가능","")</f>
        <v/>
      </c>
      <c r="X4" s="8">
        <f>IF(W4="평가 가능",(L4-U4)/U4,"")</f>
        <v/>
      </c>
      <c r="Y4" s="8">
        <f>IF(W4="평가 가능",ABS(X4),"")</f>
        <v/>
      </c>
      <c r="Z4" s="7">
        <f>IF(AND(ISNUMBER(M4),M4&gt;0,ISNUMBER(I4)),IF(M4&lt;I4,"최저가 미달",IF(M4=I4,"최저가 동액","최저가 초과")),"")</f>
        <v/>
      </c>
      <c r="AA4" s="7">
        <f>IF(AND(T4="낙찰",ISNUMBER(M4),M4&gt;0,ISNUMBER(U4)),IF(M4&lt;U4,"실제 낙찰가 미만",IF(M4=U4,"실제 낙찰가 동액","실제 낙찰가 초과")),"")</f>
        <v/>
      </c>
      <c r="AB4" s="7">
        <f>IF(AND(ISNUMBER(M4),M4&gt;0,ISNUMBER(R4)),IF(M4&lt;R4,"상한가 미만",IF(M4=R4,"상한가 동액","상한가 초과")),"")</f>
        <v/>
      </c>
      <c r="AC4" s="2" t="n"/>
      <c r="AD4" s="7">
        <f>IF(COUNTA(A4:Q4,S4:V4,AC4)=0,"",IF(OR(A4="",B4="",C4="",NOT(ISNUMBER(G4))),"식별값 확인",IF(COUNTIFS(A$2:A$51,A4,B$2:B$51,B4,C$2:C$51,C4,G$2:G$51,G4)&gt;1,"중복 회차",IF(AND(ISNUMBER(K4),K4&gt;G4),"기일 후 예측",IF(AND(T4="낙찰",W4=""),"평가 입력 확인","")))))</f>
        <v/>
      </c>
    </row>
    <row r="5">
      <c r="A5" s="3" t="n"/>
      <c r="B5" s="3" t="n"/>
      <c r="C5" s="3" t="n"/>
      <c r="D5" s="3" t="n"/>
      <c r="E5" s="3" t="n"/>
      <c r="F5" s="3" t="n"/>
      <c r="G5" s="9" t="n"/>
      <c r="H5" s="10" t="n"/>
      <c r="I5" s="10" t="n"/>
      <c r="J5" s="3" t="n"/>
      <c r="K5" s="9" t="n"/>
      <c r="L5" s="10" t="n"/>
      <c r="M5" s="10" t="n"/>
      <c r="N5" s="3" t="n"/>
      <c r="O5" s="10" t="n"/>
      <c r="P5" s="10" t="n"/>
      <c r="Q5" s="10" t="n"/>
      <c r="R5" s="6">
        <f>IF(COUNT(O5:Q5)=3,O5-P5-Q5,"")</f>
        <v/>
      </c>
      <c r="S5" s="3" t="n"/>
      <c r="T5" s="3" t="n"/>
      <c r="U5" s="10" t="n"/>
      <c r="V5" s="3" t="n"/>
      <c r="W5" s="7">
        <f>IF(AND(A5&lt;&gt;"",B5&lt;&gt;"",C5&lt;&gt;"",ISNUMBER(G5),ISNUMBER(K5),K5&lt;=G5,K5&gt;0,T5="낙찰",ISNUMBER(L5),L5&gt;0,ISNUMBER(U5),U5&gt;0,COUNTIFS(A$2:A$51,A5,B$2:B$51,B5,C$2:C$51,C5,G$2:G$51,G5)=1),"평가 가능","")</f>
        <v/>
      </c>
      <c r="X5" s="8">
        <f>IF(W5="평가 가능",(L5-U5)/U5,"")</f>
        <v/>
      </c>
      <c r="Y5" s="8">
        <f>IF(W5="평가 가능",ABS(X5),"")</f>
        <v/>
      </c>
      <c r="Z5" s="7">
        <f>IF(AND(ISNUMBER(M5),M5&gt;0,ISNUMBER(I5)),IF(M5&lt;I5,"최저가 미달",IF(M5=I5,"최저가 동액","최저가 초과")),"")</f>
        <v/>
      </c>
      <c r="AA5" s="7">
        <f>IF(AND(T5="낙찰",ISNUMBER(M5),M5&gt;0,ISNUMBER(U5)),IF(M5&lt;U5,"실제 낙찰가 미만",IF(M5=U5,"실제 낙찰가 동액","실제 낙찰가 초과")),"")</f>
        <v/>
      </c>
      <c r="AB5" s="7">
        <f>IF(AND(ISNUMBER(M5),M5&gt;0,ISNUMBER(R5)),IF(M5&lt;R5,"상한가 미만",IF(M5=R5,"상한가 동액","상한가 초과")),"")</f>
        <v/>
      </c>
      <c r="AC5" s="3" t="n"/>
      <c r="AD5" s="7">
        <f>IF(COUNTA(A5:Q5,S5:V5,AC5)=0,"",IF(OR(A5="",B5="",C5="",NOT(ISNUMBER(G5))),"식별값 확인",IF(COUNTIFS(A$2:A$51,A5,B$2:B$51,B5,C$2:C$51,C5,G$2:G$51,G5)&gt;1,"중복 회차",IF(AND(ISNUMBER(K5),K5&gt;G5),"기일 후 예측",IF(AND(T5="낙찰",W5=""),"평가 입력 확인","")))))</f>
        <v/>
      </c>
    </row>
    <row r="6">
      <c r="A6" s="2" t="n"/>
      <c r="B6" s="2" t="n"/>
      <c r="C6" s="2" t="n"/>
      <c r="D6" s="2" t="n"/>
      <c r="E6" s="2" t="n"/>
      <c r="F6" s="2" t="n"/>
      <c r="G6" s="4" t="n"/>
      <c r="H6" s="5" t="n"/>
      <c r="I6" s="5" t="n"/>
      <c r="J6" s="2" t="n"/>
      <c r="K6" s="4" t="n"/>
      <c r="L6" s="5" t="n"/>
      <c r="M6" s="5" t="n"/>
      <c r="N6" s="2" t="n"/>
      <c r="O6" s="5" t="n"/>
      <c r="P6" s="5" t="n"/>
      <c r="Q6" s="5" t="n"/>
      <c r="R6" s="6">
        <f>IF(COUNT(O6:Q6)=3,O6-P6-Q6,"")</f>
        <v/>
      </c>
      <c r="S6" s="2" t="n"/>
      <c r="T6" s="2" t="n"/>
      <c r="U6" s="5" t="n"/>
      <c r="V6" s="2" t="n"/>
      <c r="W6" s="7">
        <f>IF(AND(A6&lt;&gt;"",B6&lt;&gt;"",C6&lt;&gt;"",ISNUMBER(G6),ISNUMBER(K6),K6&lt;=G6,K6&gt;0,T6="낙찰",ISNUMBER(L6),L6&gt;0,ISNUMBER(U6),U6&gt;0,COUNTIFS(A$2:A$51,A6,B$2:B$51,B6,C$2:C$51,C6,G$2:G$51,G6)=1),"평가 가능","")</f>
        <v/>
      </c>
      <c r="X6" s="8">
        <f>IF(W6="평가 가능",(L6-U6)/U6,"")</f>
        <v/>
      </c>
      <c r="Y6" s="8">
        <f>IF(W6="평가 가능",ABS(X6),"")</f>
        <v/>
      </c>
      <c r="Z6" s="7">
        <f>IF(AND(ISNUMBER(M6),M6&gt;0,ISNUMBER(I6)),IF(M6&lt;I6,"최저가 미달",IF(M6=I6,"최저가 동액","최저가 초과")),"")</f>
        <v/>
      </c>
      <c r="AA6" s="7">
        <f>IF(AND(T6="낙찰",ISNUMBER(M6),M6&gt;0,ISNUMBER(U6)),IF(M6&lt;U6,"실제 낙찰가 미만",IF(M6=U6,"실제 낙찰가 동액","실제 낙찰가 초과")),"")</f>
        <v/>
      </c>
      <c r="AB6" s="7">
        <f>IF(AND(ISNUMBER(M6),M6&gt;0,ISNUMBER(R6)),IF(M6&lt;R6,"상한가 미만",IF(M6=R6,"상한가 동액","상한가 초과")),"")</f>
        <v/>
      </c>
      <c r="AC6" s="2" t="n"/>
      <c r="AD6" s="7">
        <f>IF(COUNTA(A6:Q6,S6:V6,AC6)=0,"",IF(OR(A6="",B6="",C6="",NOT(ISNUMBER(G6))),"식별값 확인",IF(COUNTIFS(A$2:A$51,A6,B$2:B$51,B6,C$2:C$51,C6,G$2:G$51,G6)&gt;1,"중복 회차",IF(AND(ISNUMBER(K6),K6&gt;G6),"기일 후 예측",IF(AND(T6="낙찰",W6=""),"평가 입력 확인","")))))</f>
        <v/>
      </c>
    </row>
    <row r="7">
      <c r="A7" s="3" t="n"/>
      <c r="B7" s="3" t="n"/>
      <c r="C7" s="3" t="n"/>
      <c r="D7" s="3" t="n"/>
      <c r="E7" s="3" t="n"/>
      <c r="F7" s="3" t="n"/>
      <c r="G7" s="9" t="n"/>
      <c r="H7" s="10" t="n"/>
      <c r="I7" s="10" t="n"/>
      <c r="J7" s="3" t="n"/>
      <c r="K7" s="9" t="n"/>
      <c r="L7" s="10" t="n"/>
      <c r="M7" s="10" t="n"/>
      <c r="N7" s="3" t="n"/>
      <c r="O7" s="10" t="n"/>
      <c r="P7" s="10" t="n"/>
      <c r="Q7" s="10" t="n"/>
      <c r="R7" s="6">
        <f>IF(COUNT(O7:Q7)=3,O7-P7-Q7,"")</f>
        <v/>
      </c>
      <c r="S7" s="3" t="n"/>
      <c r="T7" s="3" t="n"/>
      <c r="U7" s="10" t="n"/>
      <c r="V7" s="3" t="n"/>
      <c r="W7" s="7">
        <f>IF(AND(A7&lt;&gt;"",B7&lt;&gt;"",C7&lt;&gt;"",ISNUMBER(G7),ISNUMBER(K7),K7&lt;=G7,K7&gt;0,T7="낙찰",ISNUMBER(L7),L7&gt;0,ISNUMBER(U7),U7&gt;0,COUNTIFS(A$2:A$51,A7,B$2:B$51,B7,C$2:C$51,C7,G$2:G$51,G7)=1),"평가 가능","")</f>
        <v/>
      </c>
      <c r="X7" s="8">
        <f>IF(W7="평가 가능",(L7-U7)/U7,"")</f>
        <v/>
      </c>
      <c r="Y7" s="8">
        <f>IF(W7="평가 가능",ABS(X7),"")</f>
        <v/>
      </c>
      <c r="Z7" s="7">
        <f>IF(AND(ISNUMBER(M7),M7&gt;0,ISNUMBER(I7)),IF(M7&lt;I7,"최저가 미달",IF(M7=I7,"최저가 동액","최저가 초과")),"")</f>
        <v/>
      </c>
      <c r="AA7" s="7">
        <f>IF(AND(T7="낙찰",ISNUMBER(M7),M7&gt;0,ISNUMBER(U7)),IF(M7&lt;U7,"실제 낙찰가 미만",IF(M7=U7,"실제 낙찰가 동액","실제 낙찰가 초과")),"")</f>
        <v/>
      </c>
      <c r="AB7" s="7">
        <f>IF(AND(ISNUMBER(M7),M7&gt;0,ISNUMBER(R7)),IF(M7&lt;R7,"상한가 미만",IF(M7=R7,"상한가 동액","상한가 초과")),"")</f>
        <v/>
      </c>
      <c r="AC7" s="3" t="n"/>
      <c r="AD7" s="7">
        <f>IF(COUNTA(A7:Q7,S7:V7,AC7)=0,"",IF(OR(A7="",B7="",C7="",NOT(ISNUMBER(G7))),"식별값 확인",IF(COUNTIFS(A$2:A$51,A7,B$2:B$51,B7,C$2:C$51,C7,G$2:G$51,G7)&gt;1,"중복 회차",IF(AND(ISNUMBER(K7),K7&gt;G7),"기일 후 예측",IF(AND(T7="낙찰",W7=""),"평가 입력 확인","")))))</f>
        <v/>
      </c>
    </row>
    <row r="8">
      <c r="A8" s="2" t="n"/>
      <c r="B8" s="2" t="n"/>
      <c r="C8" s="2" t="n"/>
      <c r="D8" s="2" t="n"/>
      <c r="E8" s="2" t="n"/>
      <c r="F8" s="2" t="n"/>
      <c r="G8" s="4" t="n"/>
      <c r="H8" s="5" t="n"/>
      <c r="I8" s="5" t="n"/>
      <c r="J8" s="2" t="n"/>
      <c r="K8" s="4" t="n"/>
      <c r="L8" s="5" t="n"/>
      <c r="M8" s="5" t="n"/>
      <c r="N8" s="2" t="n"/>
      <c r="O8" s="5" t="n"/>
      <c r="P8" s="5" t="n"/>
      <c r="Q8" s="5" t="n"/>
      <c r="R8" s="6">
        <f>IF(COUNT(O8:Q8)=3,O8-P8-Q8,"")</f>
        <v/>
      </c>
      <c r="S8" s="2" t="n"/>
      <c r="T8" s="2" t="n"/>
      <c r="U8" s="5" t="n"/>
      <c r="V8" s="2" t="n"/>
      <c r="W8" s="7">
        <f>IF(AND(A8&lt;&gt;"",B8&lt;&gt;"",C8&lt;&gt;"",ISNUMBER(G8),ISNUMBER(K8),K8&lt;=G8,K8&gt;0,T8="낙찰",ISNUMBER(L8),L8&gt;0,ISNUMBER(U8),U8&gt;0,COUNTIFS(A$2:A$51,A8,B$2:B$51,B8,C$2:C$51,C8,G$2:G$51,G8)=1),"평가 가능","")</f>
        <v/>
      </c>
      <c r="X8" s="8">
        <f>IF(W8="평가 가능",(L8-U8)/U8,"")</f>
        <v/>
      </c>
      <c r="Y8" s="8">
        <f>IF(W8="평가 가능",ABS(X8),"")</f>
        <v/>
      </c>
      <c r="Z8" s="7">
        <f>IF(AND(ISNUMBER(M8),M8&gt;0,ISNUMBER(I8)),IF(M8&lt;I8,"최저가 미달",IF(M8=I8,"최저가 동액","최저가 초과")),"")</f>
        <v/>
      </c>
      <c r="AA8" s="7">
        <f>IF(AND(T8="낙찰",ISNUMBER(M8),M8&gt;0,ISNUMBER(U8)),IF(M8&lt;U8,"실제 낙찰가 미만",IF(M8=U8,"실제 낙찰가 동액","실제 낙찰가 초과")),"")</f>
        <v/>
      </c>
      <c r="AB8" s="7">
        <f>IF(AND(ISNUMBER(M8),M8&gt;0,ISNUMBER(R8)),IF(M8&lt;R8,"상한가 미만",IF(M8=R8,"상한가 동액","상한가 초과")),"")</f>
        <v/>
      </c>
      <c r="AC8" s="2" t="n"/>
      <c r="AD8" s="7">
        <f>IF(COUNTA(A8:Q8,S8:V8,AC8)=0,"",IF(OR(A8="",B8="",C8="",NOT(ISNUMBER(G8))),"식별값 확인",IF(COUNTIFS(A$2:A$51,A8,B$2:B$51,B8,C$2:C$51,C8,G$2:G$51,G8)&gt;1,"중복 회차",IF(AND(ISNUMBER(K8),K8&gt;G8),"기일 후 예측",IF(AND(T8="낙찰",W8=""),"평가 입력 확인","")))))</f>
        <v/>
      </c>
    </row>
    <row r="9">
      <c r="A9" s="3" t="n"/>
      <c r="B9" s="3" t="n"/>
      <c r="C9" s="3" t="n"/>
      <c r="D9" s="3" t="n"/>
      <c r="E9" s="3" t="n"/>
      <c r="F9" s="3" t="n"/>
      <c r="G9" s="9" t="n"/>
      <c r="H9" s="10" t="n"/>
      <c r="I9" s="10" t="n"/>
      <c r="J9" s="3" t="n"/>
      <c r="K9" s="9" t="n"/>
      <c r="L9" s="10" t="n"/>
      <c r="M9" s="10" t="n"/>
      <c r="N9" s="3" t="n"/>
      <c r="O9" s="10" t="n"/>
      <c r="P9" s="10" t="n"/>
      <c r="Q9" s="10" t="n"/>
      <c r="R9" s="6">
        <f>IF(COUNT(O9:Q9)=3,O9-P9-Q9,"")</f>
        <v/>
      </c>
      <c r="S9" s="3" t="n"/>
      <c r="T9" s="3" t="n"/>
      <c r="U9" s="10" t="n"/>
      <c r="V9" s="3" t="n"/>
      <c r="W9" s="7">
        <f>IF(AND(A9&lt;&gt;"",B9&lt;&gt;"",C9&lt;&gt;"",ISNUMBER(G9),ISNUMBER(K9),K9&lt;=G9,K9&gt;0,T9="낙찰",ISNUMBER(L9),L9&gt;0,ISNUMBER(U9),U9&gt;0,COUNTIFS(A$2:A$51,A9,B$2:B$51,B9,C$2:C$51,C9,G$2:G$51,G9)=1),"평가 가능","")</f>
        <v/>
      </c>
      <c r="X9" s="8">
        <f>IF(W9="평가 가능",(L9-U9)/U9,"")</f>
        <v/>
      </c>
      <c r="Y9" s="8">
        <f>IF(W9="평가 가능",ABS(X9),"")</f>
        <v/>
      </c>
      <c r="Z9" s="7">
        <f>IF(AND(ISNUMBER(M9),M9&gt;0,ISNUMBER(I9)),IF(M9&lt;I9,"최저가 미달",IF(M9=I9,"최저가 동액","최저가 초과")),"")</f>
        <v/>
      </c>
      <c r="AA9" s="7">
        <f>IF(AND(T9="낙찰",ISNUMBER(M9),M9&gt;0,ISNUMBER(U9)),IF(M9&lt;U9,"실제 낙찰가 미만",IF(M9=U9,"실제 낙찰가 동액","실제 낙찰가 초과")),"")</f>
        <v/>
      </c>
      <c r="AB9" s="7">
        <f>IF(AND(ISNUMBER(M9),M9&gt;0,ISNUMBER(R9)),IF(M9&lt;R9,"상한가 미만",IF(M9=R9,"상한가 동액","상한가 초과")),"")</f>
        <v/>
      </c>
      <c r="AC9" s="3" t="n"/>
      <c r="AD9" s="7">
        <f>IF(COUNTA(A9:Q9,S9:V9,AC9)=0,"",IF(OR(A9="",B9="",C9="",NOT(ISNUMBER(G9))),"식별값 확인",IF(COUNTIFS(A$2:A$51,A9,B$2:B$51,B9,C$2:C$51,C9,G$2:G$51,G9)&gt;1,"중복 회차",IF(AND(ISNUMBER(K9),K9&gt;G9),"기일 후 예측",IF(AND(T9="낙찰",W9=""),"평가 입력 확인","")))))</f>
        <v/>
      </c>
    </row>
    <row r="10">
      <c r="A10" s="2" t="n"/>
      <c r="B10" s="2" t="n"/>
      <c r="C10" s="2" t="n"/>
      <c r="D10" s="2" t="n"/>
      <c r="E10" s="2" t="n"/>
      <c r="F10" s="2" t="n"/>
      <c r="G10" s="4" t="n"/>
      <c r="H10" s="5" t="n"/>
      <c r="I10" s="5" t="n"/>
      <c r="J10" s="2" t="n"/>
      <c r="K10" s="4" t="n"/>
      <c r="L10" s="5" t="n"/>
      <c r="M10" s="5" t="n"/>
      <c r="N10" s="2" t="n"/>
      <c r="O10" s="5" t="n"/>
      <c r="P10" s="5" t="n"/>
      <c r="Q10" s="5" t="n"/>
      <c r="R10" s="6">
        <f>IF(COUNT(O10:Q10)=3,O10-P10-Q10,"")</f>
        <v/>
      </c>
      <c r="S10" s="2" t="n"/>
      <c r="T10" s="2" t="n"/>
      <c r="U10" s="5" t="n"/>
      <c r="V10" s="2" t="n"/>
      <c r="W10" s="7">
        <f>IF(AND(A10&lt;&gt;"",B10&lt;&gt;"",C10&lt;&gt;"",ISNUMBER(G10),ISNUMBER(K10),K10&lt;=G10,K10&gt;0,T10="낙찰",ISNUMBER(L10),L10&gt;0,ISNUMBER(U10),U10&gt;0,COUNTIFS(A$2:A$51,A10,B$2:B$51,B10,C$2:C$51,C10,G$2:G$51,G10)=1),"평가 가능","")</f>
        <v/>
      </c>
      <c r="X10" s="8">
        <f>IF(W10="평가 가능",(L10-U10)/U10,"")</f>
        <v/>
      </c>
      <c r="Y10" s="8">
        <f>IF(W10="평가 가능",ABS(X10),"")</f>
        <v/>
      </c>
      <c r="Z10" s="7">
        <f>IF(AND(ISNUMBER(M10),M10&gt;0,ISNUMBER(I10)),IF(M10&lt;I10,"최저가 미달",IF(M10=I10,"최저가 동액","최저가 초과")),"")</f>
        <v/>
      </c>
      <c r="AA10" s="7">
        <f>IF(AND(T10="낙찰",ISNUMBER(M10),M10&gt;0,ISNUMBER(U10)),IF(M10&lt;U10,"실제 낙찰가 미만",IF(M10=U10,"실제 낙찰가 동액","실제 낙찰가 초과")),"")</f>
        <v/>
      </c>
      <c r="AB10" s="7">
        <f>IF(AND(ISNUMBER(M10),M10&gt;0,ISNUMBER(R10)),IF(M10&lt;R10,"상한가 미만",IF(M10=R10,"상한가 동액","상한가 초과")),"")</f>
        <v/>
      </c>
      <c r="AC10" s="2" t="n"/>
      <c r="AD10" s="7">
        <f>IF(COUNTA(A10:Q10,S10:V10,AC10)=0,"",IF(OR(A10="",B10="",C10="",NOT(ISNUMBER(G10))),"식별값 확인",IF(COUNTIFS(A$2:A$51,A10,B$2:B$51,B10,C$2:C$51,C10,G$2:G$51,G10)&gt;1,"중복 회차",IF(AND(ISNUMBER(K10),K10&gt;G10),"기일 후 예측",IF(AND(T10="낙찰",W10=""),"평가 입력 확인","")))))</f>
        <v/>
      </c>
    </row>
    <row r="11">
      <c r="A11" s="3" t="n"/>
      <c r="B11" s="3" t="n"/>
      <c r="C11" s="3" t="n"/>
      <c r="D11" s="3" t="n"/>
      <c r="E11" s="3" t="n"/>
      <c r="F11" s="3" t="n"/>
      <c r="G11" s="9" t="n"/>
      <c r="H11" s="10" t="n"/>
      <c r="I11" s="10" t="n"/>
      <c r="J11" s="3" t="n"/>
      <c r="K11" s="9" t="n"/>
      <c r="L11" s="10" t="n"/>
      <c r="M11" s="10" t="n"/>
      <c r="N11" s="3" t="n"/>
      <c r="O11" s="10" t="n"/>
      <c r="P11" s="10" t="n"/>
      <c r="Q11" s="10" t="n"/>
      <c r="R11" s="6">
        <f>IF(COUNT(O11:Q11)=3,O11-P11-Q11,"")</f>
        <v/>
      </c>
      <c r="S11" s="3" t="n"/>
      <c r="T11" s="3" t="n"/>
      <c r="U11" s="10" t="n"/>
      <c r="V11" s="3" t="n"/>
      <c r="W11" s="7">
        <f>IF(AND(A11&lt;&gt;"",B11&lt;&gt;"",C11&lt;&gt;"",ISNUMBER(G11),ISNUMBER(K11),K11&lt;=G11,K11&gt;0,T11="낙찰",ISNUMBER(L11),L11&gt;0,ISNUMBER(U11),U11&gt;0,COUNTIFS(A$2:A$51,A11,B$2:B$51,B11,C$2:C$51,C11,G$2:G$51,G11)=1),"평가 가능","")</f>
        <v/>
      </c>
      <c r="X11" s="8">
        <f>IF(W11="평가 가능",(L11-U11)/U11,"")</f>
        <v/>
      </c>
      <c r="Y11" s="8">
        <f>IF(W11="평가 가능",ABS(X11),"")</f>
        <v/>
      </c>
      <c r="Z11" s="7">
        <f>IF(AND(ISNUMBER(M11),M11&gt;0,ISNUMBER(I11)),IF(M11&lt;I11,"최저가 미달",IF(M11=I11,"최저가 동액","최저가 초과")),"")</f>
        <v/>
      </c>
      <c r="AA11" s="7">
        <f>IF(AND(T11="낙찰",ISNUMBER(M11),M11&gt;0,ISNUMBER(U11)),IF(M11&lt;U11,"실제 낙찰가 미만",IF(M11=U11,"실제 낙찰가 동액","실제 낙찰가 초과")),"")</f>
        <v/>
      </c>
      <c r="AB11" s="7">
        <f>IF(AND(ISNUMBER(M11),M11&gt;0,ISNUMBER(R11)),IF(M11&lt;R11,"상한가 미만",IF(M11=R11,"상한가 동액","상한가 초과")),"")</f>
        <v/>
      </c>
      <c r="AC11" s="3" t="n"/>
      <c r="AD11" s="7">
        <f>IF(COUNTA(A11:Q11,S11:V11,AC11)=0,"",IF(OR(A11="",B11="",C11="",NOT(ISNUMBER(G11))),"식별값 확인",IF(COUNTIFS(A$2:A$51,A11,B$2:B$51,B11,C$2:C$51,C11,G$2:G$51,G11)&gt;1,"중복 회차",IF(AND(ISNUMBER(K11),K11&gt;G11),"기일 후 예측",IF(AND(T11="낙찰",W11=""),"평가 입력 확인","")))))</f>
        <v/>
      </c>
    </row>
    <row r="12">
      <c r="A12" s="2" t="n"/>
      <c r="B12" s="2" t="n"/>
      <c r="C12" s="2" t="n"/>
      <c r="D12" s="2" t="n"/>
      <c r="E12" s="2" t="n"/>
      <c r="F12" s="2" t="n"/>
      <c r="G12" s="4" t="n"/>
      <c r="H12" s="5" t="n"/>
      <c r="I12" s="5" t="n"/>
      <c r="J12" s="2" t="n"/>
      <c r="K12" s="4" t="n"/>
      <c r="L12" s="5" t="n"/>
      <c r="M12" s="5" t="n"/>
      <c r="N12" s="2" t="n"/>
      <c r="O12" s="5" t="n"/>
      <c r="P12" s="5" t="n"/>
      <c r="Q12" s="5" t="n"/>
      <c r="R12" s="6">
        <f>IF(COUNT(O12:Q12)=3,O12-P12-Q12,"")</f>
        <v/>
      </c>
      <c r="S12" s="2" t="n"/>
      <c r="T12" s="2" t="n"/>
      <c r="U12" s="5" t="n"/>
      <c r="V12" s="2" t="n"/>
      <c r="W12" s="7">
        <f>IF(AND(A12&lt;&gt;"",B12&lt;&gt;"",C12&lt;&gt;"",ISNUMBER(G12),ISNUMBER(K12),K12&lt;=G12,K12&gt;0,T12="낙찰",ISNUMBER(L12),L12&gt;0,ISNUMBER(U12),U12&gt;0,COUNTIFS(A$2:A$51,A12,B$2:B$51,B12,C$2:C$51,C12,G$2:G$51,G12)=1),"평가 가능","")</f>
        <v/>
      </c>
      <c r="X12" s="8">
        <f>IF(W12="평가 가능",(L12-U12)/U12,"")</f>
        <v/>
      </c>
      <c r="Y12" s="8">
        <f>IF(W12="평가 가능",ABS(X12),"")</f>
        <v/>
      </c>
      <c r="Z12" s="7">
        <f>IF(AND(ISNUMBER(M12),M12&gt;0,ISNUMBER(I12)),IF(M12&lt;I12,"최저가 미달",IF(M12=I12,"최저가 동액","최저가 초과")),"")</f>
        <v/>
      </c>
      <c r="AA12" s="7">
        <f>IF(AND(T12="낙찰",ISNUMBER(M12),M12&gt;0,ISNUMBER(U12)),IF(M12&lt;U12,"실제 낙찰가 미만",IF(M12=U12,"실제 낙찰가 동액","실제 낙찰가 초과")),"")</f>
        <v/>
      </c>
      <c r="AB12" s="7">
        <f>IF(AND(ISNUMBER(M12),M12&gt;0,ISNUMBER(R12)),IF(M12&lt;R12,"상한가 미만",IF(M12=R12,"상한가 동액","상한가 초과")),"")</f>
        <v/>
      </c>
      <c r="AC12" s="2" t="n"/>
      <c r="AD12" s="7">
        <f>IF(COUNTA(A12:Q12,S12:V12,AC12)=0,"",IF(OR(A12="",B12="",C12="",NOT(ISNUMBER(G12))),"식별값 확인",IF(COUNTIFS(A$2:A$51,A12,B$2:B$51,B12,C$2:C$51,C12,G$2:G$51,G12)&gt;1,"중복 회차",IF(AND(ISNUMBER(K12),K12&gt;G12),"기일 후 예측",IF(AND(T12="낙찰",W12=""),"평가 입력 확인","")))))</f>
        <v/>
      </c>
    </row>
    <row r="13">
      <c r="A13" s="3" t="n"/>
      <c r="B13" s="3" t="n"/>
      <c r="C13" s="3" t="n"/>
      <c r="D13" s="3" t="n"/>
      <c r="E13" s="3" t="n"/>
      <c r="F13" s="3" t="n"/>
      <c r="G13" s="9" t="n"/>
      <c r="H13" s="10" t="n"/>
      <c r="I13" s="10" t="n"/>
      <c r="J13" s="3" t="n"/>
      <c r="K13" s="9" t="n"/>
      <c r="L13" s="10" t="n"/>
      <c r="M13" s="10" t="n"/>
      <c r="N13" s="3" t="n"/>
      <c r="O13" s="10" t="n"/>
      <c r="P13" s="10" t="n"/>
      <c r="Q13" s="10" t="n"/>
      <c r="R13" s="6">
        <f>IF(COUNT(O13:Q13)=3,O13-P13-Q13,"")</f>
        <v/>
      </c>
      <c r="S13" s="3" t="n"/>
      <c r="T13" s="3" t="n"/>
      <c r="U13" s="10" t="n"/>
      <c r="V13" s="3" t="n"/>
      <c r="W13" s="7">
        <f>IF(AND(A13&lt;&gt;"",B13&lt;&gt;"",C13&lt;&gt;"",ISNUMBER(G13),ISNUMBER(K13),K13&lt;=G13,K13&gt;0,T13="낙찰",ISNUMBER(L13),L13&gt;0,ISNUMBER(U13),U13&gt;0,COUNTIFS(A$2:A$51,A13,B$2:B$51,B13,C$2:C$51,C13,G$2:G$51,G13)=1),"평가 가능","")</f>
        <v/>
      </c>
      <c r="X13" s="8">
        <f>IF(W13="평가 가능",(L13-U13)/U13,"")</f>
        <v/>
      </c>
      <c r="Y13" s="8">
        <f>IF(W13="평가 가능",ABS(X13),"")</f>
        <v/>
      </c>
      <c r="Z13" s="7">
        <f>IF(AND(ISNUMBER(M13),M13&gt;0,ISNUMBER(I13)),IF(M13&lt;I13,"최저가 미달",IF(M13=I13,"최저가 동액","최저가 초과")),"")</f>
        <v/>
      </c>
      <c r="AA13" s="7">
        <f>IF(AND(T13="낙찰",ISNUMBER(M13),M13&gt;0,ISNUMBER(U13)),IF(M13&lt;U13,"실제 낙찰가 미만",IF(M13=U13,"실제 낙찰가 동액","실제 낙찰가 초과")),"")</f>
        <v/>
      </c>
      <c r="AB13" s="7">
        <f>IF(AND(ISNUMBER(M13),M13&gt;0,ISNUMBER(R13)),IF(M13&lt;R13,"상한가 미만",IF(M13=R13,"상한가 동액","상한가 초과")),"")</f>
        <v/>
      </c>
      <c r="AC13" s="3" t="n"/>
      <c r="AD13" s="7">
        <f>IF(COUNTA(A13:Q13,S13:V13,AC13)=0,"",IF(OR(A13="",B13="",C13="",NOT(ISNUMBER(G13))),"식별값 확인",IF(COUNTIFS(A$2:A$51,A13,B$2:B$51,B13,C$2:C$51,C13,G$2:G$51,G13)&gt;1,"중복 회차",IF(AND(ISNUMBER(K13),K13&gt;G13),"기일 후 예측",IF(AND(T13="낙찰",W13=""),"평가 입력 확인","")))))</f>
        <v/>
      </c>
    </row>
    <row r="14">
      <c r="A14" s="2" t="n"/>
      <c r="B14" s="2" t="n"/>
      <c r="C14" s="2" t="n"/>
      <c r="D14" s="2" t="n"/>
      <c r="E14" s="2" t="n"/>
      <c r="F14" s="2" t="n"/>
      <c r="G14" s="4" t="n"/>
      <c r="H14" s="5" t="n"/>
      <c r="I14" s="5" t="n"/>
      <c r="J14" s="2" t="n"/>
      <c r="K14" s="4" t="n"/>
      <c r="L14" s="5" t="n"/>
      <c r="M14" s="5" t="n"/>
      <c r="N14" s="2" t="n"/>
      <c r="O14" s="5" t="n"/>
      <c r="P14" s="5" t="n"/>
      <c r="Q14" s="5" t="n"/>
      <c r="R14" s="6">
        <f>IF(COUNT(O14:Q14)=3,O14-P14-Q14,"")</f>
        <v/>
      </c>
      <c r="S14" s="2" t="n"/>
      <c r="T14" s="2" t="n"/>
      <c r="U14" s="5" t="n"/>
      <c r="V14" s="2" t="n"/>
      <c r="W14" s="7">
        <f>IF(AND(A14&lt;&gt;"",B14&lt;&gt;"",C14&lt;&gt;"",ISNUMBER(G14),ISNUMBER(K14),K14&lt;=G14,K14&gt;0,T14="낙찰",ISNUMBER(L14),L14&gt;0,ISNUMBER(U14),U14&gt;0,COUNTIFS(A$2:A$51,A14,B$2:B$51,B14,C$2:C$51,C14,G$2:G$51,G14)=1),"평가 가능","")</f>
        <v/>
      </c>
      <c r="X14" s="8">
        <f>IF(W14="평가 가능",(L14-U14)/U14,"")</f>
        <v/>
      </c>
      <c r="Y14" s="8">
        <f>IF(W14="평가 가능",ABS(X14),"")</f>
        <v/>
      </c>
      <c r="Z14" s="7">
        <f>IF(AND(ISNUMBER(M14),M14&gt;0,ISNUMBER(I14)),IF(M14&lt;I14,"최저가 미달",IF(M14=I14,"최저가 동액","최저가 초과")),"")</f>
        <v/>
      </c>
      <c r="AA14" s="7">
        <f>IF(AND(T14="낙찰",ISNUMBER(M14),M14&gt;0,ISNUMBER(U14)),IF(M14&lt;U14,"실제 낙찰가 미만",IF(M14=U14,"실제 낙찰가 동액","실제 낙찰가 초과")),"")</f>
        <v/>
      </c>
      <c r="AB14" s="7">
        <f>IF(AND(ISNUMBER(M14),M14&gt;0,ISNUMBER(R14)),IF(M14&lt;R14,"상한가 미만",IF(M14=R14,"상한가 동액","상한가 초과")),"")</f>
        <v/>
      </c>
      <c r="AC14" s="2" t="n"/>
      <c r="AD14" s="7">
        <f>IF(COUNTA(A14:Q14,S14:V14,AC14)=0,"",IF(OR(A14="",B14="",C14="",NOT(ISNUMBER(G14))),"식별값 확인",IF(COUNTIFS(A$2:A$51,A14,B$2:B$51,B14,C$2:C$51,C14,G$2:G$51,G14)&gt;1,"중복 회차",IF(AND(ISNUMBER(K14),K14&gt;G14),"기일 후 예측",IF(AND(T14="낙찰",W14=""),"평가 입력 확인","")))))</f>
        <v/>
      </c>
    </row>
    <row r="15">
      <c r="A15" s="3" t="n"/>
      <c r="B15" s="3" t="n"/>
      <c r="C15" s="3" t="n"/>
      <c r="D15" s="3" t="n"/>
      <c r="E15" s="3" t="n"/>
      <c r="F15" s="3" t="n"/>
      <c r="G15" s="9" t="n"/>
      <c r="H15" s="10" t="n"/>
      <c r="I15" s="10" t="n"/>
      <c r="J15" s="3" t="n"/>
      <c r="K15" s="9" t="n"/>
      <c r="L15" s="10" t="n"/>
      <c r="M15" s="10" t="n"/>
      <c r="N15" s="3" t="n"/>
      <c r="O15" s="10" t="n"/>
      <c r="P15" s="10" t="n"/>
      <c r="Q15" s="10" t="n"/>
      <c r="R15" s="6">
        <f>IF(COUNT(O15:Q15)=3,O15-P15-Q15,"")</f>
        <v/>
      </c>
      <c r="S15" s="3" t="n"/>
      <c r="T15" s="3" t="n"/>
      <c r="U15" s="10" t="n"/>
      <c r="V15" s="3" t="n"/>
      <c r="W15" s="7">
        <f>IF(AND(A15&lt;&gt;"",B15&lt;&gt;"",C15&lt;&gt;"",ISNUMBER(G15),ISNUMBER(K15),K15&lt;=G15,K15&gt;0,T15="낙찰",ISNUMBER(L15),L15&gt;0,ISNUMBER(U15),U15&gt;0,COUNTIFS(A$2:A$51,A15,B$2:B$51,B15,C$2:C$51,C15,G$2:G$51,G15)=1),"평가 가능","")</f>
        <v/>
      </c>
      <c r="X15" s="8">
        <f>IF(W15="평가 가능",(L15-U15)/U15,"")</f>
        <v/>
      </c>
      <c r="Y15" s="8">
        <f>IF(W15="평가 가능",ABS(X15),"")</f>
        <v/>
      </c>
      <c r="Z15" s="7">
        <f>IF(AND(ISNUMBER(M15),M15&gt;0,ISNUMBER(I15)),IF(M15&lt;I15,"최저가 미달",IF(M15=I15,"최저가 동액","최저가 초과")),"")</f>
        <v/>
      </c>
      <c r="AA15" s="7">
        <f>IF(AND(T15="낙찰",ISNUMBER(M15),M15&gt;0,ISNUMBER(U15)),IF(M15&lt;U15,"실제 낙찰가 미만",IF(M15=U15,"실제 낙찰가 동액","실제 낙찰가 초과")),"")</f>
        <v/>
      </c>
      <c r="AB15" s="7">
        <f>IF(AND(ISNUMBER(M15),M15&gt;0,ISNUMBER(R15)),IF(M15&lt;R15,"상한가 미만",IF(M15=R15,"상한가 동액","상한가 초과")),"")</f>
        <v/>
      </c>
      <c r="AC15" s="3" t="n"/>
      <c r="AD15" s="7">
        <f>IF(COUNTA(A15:Q15,S15:V15,AC15)=0,"",IF(OR(A15="",B15="",C15="",NOT(ISNUMBER(G15))),"식별값 확인",IF(COUNTIFS(A$2:A$51,A15,B$2:B$51,B15,C$2:C$51,C15,G$2:G$51,G15)&gt;1,"중복 회차",IF(AND(ISNUMBER(K15),K15&gt;G15),"기일 후 예측",IF(AND(T15="낙찰",W15=""),"평가 입력 확인","")))))</f>
        <v/>
      </c>
    </row>
    <row r="16">
      <c r="A16" s="2" t="n"/>
      <c r="B16" s="2" t="n"/>
      <c r="C16" s="2" t="n"/>
      <c r="D16" s="2" t="n"/>
      <c r="E16" s="2" t="n"/>
      <c r="F16" s="2" t="n"/>
      <c r="G16" s="4" t="n"/>
      <c r="H16" s="5" t="n"/>
      <c r="I16" s="5" t="n"/>
      <c r="J16" s="2" t="n"/>
      <c r="K16" s="4" t="n"/>
      <c r="L16" s="5" t="n"/>
      <c r="M16" s="5" t="n"/>
      <c r="N16" s="2" t="n"/>
      <c r="O16" s="5" t="n"/>
      <c r="P16" s="5" t="n"/>
      <c r="Q16" s="5" t="n"/>
      <c r="R16" s="6">
        <f>IF(COUNT(O16:Q16)=3,O16-P16-Q16,"")</f>
        <v/>
      </c>
      <c r="S16" s="2" t="n"/>
      <c r="T16" s="2" t="n"/>
      <c r="U16" s="5" t="n"/>
      <c r="V16" s="2" t="n"/>
      <c r="W16" s="7">
        <f>IF(AND(A16&lt;&gt;"",B16&lt;&gt;"",C16&lt;&gt;"",ISNUMBER(G16),ISNUMBER(K16),K16&lt;=G16,K16&gt;0,T16="낙찰",ISNUMBER(L16),L16&gt;0,ISNUMBER(U16),U16&gt;0,COUNTIFS(A$2:A$51,A16,B$2:B$51,B16,C$2:C$51,C16,G$2:G$51,G16)=1),"평가 가능","")</f>
        <v/>
      </c>
      <c r="X16" s="8">
        <f>IF(W16="평가 가능",(L16-U16)/U16,"")</f>
        <v/>
      </c>
      <c r="Y16" s="8">
        <f>IF(W16="평가 가능",ABS(X16),"")</f>
        <v/>
      </c>
      <c r="Z16" s="7">
        <f>IF(AND(ISNUMBER(M16),M16&gt;0,ISNUMBER(I16)),IF(M16&lt;I16,"최저가 미달",IF(M16=I16,"최저가 동액","최저가 초과")),"")</f>
        <v/>
      </c>
      <c r="AA16" s="7">
        <f>IF(AND(T16="낙찰",ISNUMBER(M16),M16&gt;0,ISNUMBER(U16)),IF(M16&lt;U16,"실제 낙찰가 미만",IF(M16=U16,"실제 낙찰가 동액","실제 낙찰가 초과")),"")</f>
        <v/>
      </c>
      <c r="AB16" s="7">
        <f>IF(AND(ISNUMBER(M16),M16&gt;0,ISNUMBER(R16)),IF(M16&lt;R16,"상한가 미만",IF(M16=R16,"상한가 동액","상한가 초과")),"")</f>
        <v/>
      </c>
      <c r="AC16" s="2" t="n"/>
      <c r="AD16" s="7">
        <f>IF(COUNTA(A16:Q16,S16:V16,AC16)=0,"",IF(OR(A16="",B16="",C16="",NOT(ISNUMBER(G16))),"식별값 확인",IF(COUNTIFS(A$2:A$51,A16,B$2:B$51,B16,C$2:C$51,C16,G$2:G$51,G16)&gt;1,"중복 회차",IF(AND(ISNUMBER(K16),K16&gt;G16),"기일 후 예측",IF(AND(T16="낙찰",W16=""),"평가 입력 확인","")))))</f>
        <v/>
      </c>
    </row>
    <row r="17">
      <c r="A17" s="3" t="n"/>
      <c r="B17" s="3" t="n"/>
      <c r="C17" s="3" t="n"/>
      <c r="D17" s="3" t="n"/>
      <c r="E17" s="3" t="n"/>
      <c r="F17" s="3" t="n"/>
      <c r="G17" s="9" t="n"/>
      <c r="H17" s="10" t="n"/>
      <c r="I17" s="10" t="n"/>
      <c r="J17" s="3" t="n"/>
      <c r="K17" s="9" t="n"/>
      <c r="L17" s="10" t="n"/>
      <c r="M17" s="10" t="n"/>
      <c r="N17" s="3" t="n"/>
      <c r="O17" s="10" t="n"/>
      <c r="P17" s="10" t="n"/>
      <c r="Q17" s="10" t="n"/>
      <c r="R17" s="6">
        <f>IF(COUNT(O17:Q17)=3,O17-P17-Q17,"")</f>
        <v/>
      </c>
      <c r="S17" s="3" t="n"/>
      <c r="T17" s="3" t="n"/>
      <c r="U17" s="10" t="n"/>
      <c r="V17" s="3" t="n"/>
      <c r="W17" s="7">
        <f>IF(AND(A17&lt;&gt;"",B17&lt;&gt;"",C17&lt;&gt;"",ISNUMBER(G17),ISNUMBER(K17),K17&lt;=G17,K17&gt;0,T17="낙찰",ISNUMBER(L17),L17&gt;0,ISNUMBER(U17),U17&gt;0,COUNTIFS(A$2:A$51,A17,B$2:B$51,B17,C$2:C$51,C17,G$2:G$51,G17)=1),"평가 가능","")</f>
        <v/>
      </c>
      <c r="X17" s="8">
        <f>IF(W17="평가 가능",(L17-U17)/U17,"")</f>
        <v/>
      </c>
      <c r="Y17" s="8">
        <f>IF(W17="평가 가능",ABS(X17),"")</f>
        <v/>
      </c>
      <c r="Z17" s="7">
        <f>IF(AND(ISNUMBER(M17),M17&gt;0,ISNUMBER(I17)),IF(M17&lt;I17,"최저가 미달",IF(M17=I17,"최저가 동액","최저가 초과")),"")</f>
        <v/>
      </c>
      <c r="AA17" s="7">
        <f>IF(AND(T17="낙찰",ISNUMBER(M17),M17&gt;0,ISNUMBER(U17)),IF(M17&lt;U17,"실제 낙찰가 미만",IF(M17=U17,"실제 낙찰가 동액","실제 낙찰가 초과")),"")</f>
        <v/>
      </c>
      <c r="AB17" s="7">
        <f>IF(AND(ISNUMBER(M17),M17&gt;0,ISNUMBER(R17)),IF(M17&lt;R17,"상한가 미만",IF(M17=R17,"상한가 동액","상한가 초과")),"")</f>
        <v/>
      </c>
      <c r="AC17" s="3" t="n"/>
      <c r="AD17" s="7">
        <f>IF(COUNTA(A17:Q17,S17:V17,AC17)=0,"",IF(OR(A17="",B17="",C17="",NOT(ISNUMBER(G17))),"식별값 확인",IF(COUNTIFS(A$2:A$51,A17,B$2:B$51,B17,C$2:C$51,C17,G$2:G$51,G17)&gt;1,"중복 회차",IF(AND(ISNUMBER(K17),K17&gt;G17),"기일 후 예측",IF(AND(T17="낙찰",W17=""),"평가 입력 확인","")))))</f>
        <v/>
      </c>
    </row>
    <row r="18">
      <c r="A18" s="2" t="n"/>
      <c r="B18" s="2" t="n"/>
      <c r="C18" s="2" t="n"/>
      <c r="D18" s="2" t="n"/>
      <c r="E18" s="2" t="n"/>
      <c r="F18" s="2" t="n"/>
      <c r="G18" s="4" t="n"/>
      <c r="H18" s="5" t="n"/>
      <c r="I18" s="5" t="n"/>
      <c r="J18" s="2" t="n"/>
      <c r="K18" s="4" t="n"/>
      <c r="L18" s="5" t="n"/>
      <c r="M18" s="5" t="n"/>
      <c r="N18" s="2" t="n"/>
      <c r="O18" s="5" t="n"/>
      <c r="P18" s="5" t="n"/>
      <c r="Q18" s="5" t="n"/>
      <c r="R18" s="6">
        <f>IF(COUNT(O18:Q18)=3,O18-P18-Q18,"")</f>
        <v/>
      </c>
      <c r="S18" s="2" t="n"/>
      <c r="T18" s="2" t="n"/>
      <c r="U18" s="5" t="n"/>
      <c r="V18" s="2" t="n"/>
      <c r="W18" s="7">
        <f>IF(AND(A18&lt;&gt;"",B18&lt;&gt;"",C18&lt;&gt;"",ISNUMBER(G18),ISNUMBER(K18),K18&lt;=G18,K18&gt;0,T18="낙찰",ISNUMBER(L18),L18&gt;0,ISNUMBER(U18),U18&gt;0,COUNTIFS(A$2:A$51,A18,B$2:B$51,B18,C$2:C$51,C18,G$2:G$51,G18)=1),"평가 가능","")</f>
        <v/>
      </c>
      <c r="X18" s="8">
        <f>IF(W18="평가 가능",(L18-U18)/U18,"")</f>
        <v/>
      </c>
      <c r="Y18" s="8">
        <f>IF(W18="평가 가능",ABS(X18),"")</f>
        <v/>
      </c>
      <c r="Z18" s="7">
        <f>IF(AND(ISNUMBER(M18),M18&gt;0,ISNUMBER(I18)),IF(M18&lt;I18,"최저가 미달",IF(M18=I18,"최저가 동액","최저가 초과")),"")</f>
        <v/>
      </c>
      <c r="AA18" s="7">
        <f>IF(AND(T18="낙찰",ISNUMBER(M18),M18&gt;0,ISNUMBER(U18)),IF(M18&lt;U18,"실제 낙찰가 미만",IF(M18=U18,"실제 낙찰가 동액","실제 낙찰가 초과")),"")</f>
        <v/>
      </c>
      <c r="AB18" s="7">
        <f>IF(AND(ISNUMBER(M18),M18&gt;0,ISNUMBER(R18)),IF(M18&lt;R18,"상한가 미만",IF(M18=R18,"상한가 동액","상한가 초과")),"")</f>
        <v/>
      </c>
      <c r="AC18" s="2" t="n"/>
      <c r="AD18" s="7">
        <f>IF(COUNTA(A18:Q18,S18:V18,AC18)=0,"",IF(OR(A18="",B18="",C18="",NOT(ISNUMBER(G18))),"식별값 확인",IF(COUNTIFS(A$2:A$51,A18,B$2:B$51,B18,C$2:C$51,C18,G$2:G$51,G18)&gt;1,"중복 회차",IF(AND(ISNUMBER(K18),K18&gt;G18),"기일 후 예측",IF(AND(T18="낙찰",W18=""),"평가 입력 확인","")))))</f>
        <v/>
      </c>
    </row>
    <row r="19">
      <c r="A19" s="3" t="n"/>
      <c r="B19" s="3" t="n"/>
      <c r="C19" s="3" t="n"/>
      <c r="D19" s="3" t="n"/>
      <c r="E19" s="3" t="n"/>
      <c r="F19" s="3" t="n"/>
      <c r="G19" s="9" t="n"/>
      <c r="H19" s="10" t="n"/>
      <c r="I19" s="10" t="n"/>
      <c r="J19" s="3" t="n"/>
      <c r="K19" s="9" t="n"/>
      <c r="L19" s="10" t="n"/>
      <c r="M19" s="10" t="n"/>
      <c r="N19" s="3" t="n"/>
      <c r="O19" s="10" t="n"/>
      <c r="P19" s="10" t="n"/>
      <c r="Q19" s="10" t="n"/>
      <c r="R19" s="6">
        <f>IF(COUNT(O19:Q19)=3,O19-P19-Q19,"")</f>
        <v/>
      </c>
      <c r="S19" s="3" t="n"/>
      <c r="T19" s="3" t="n"/>
      <c r="U19" s="10" t="n"/>
      <c r="V19" s="3" t="n"/>
      <c r="W19" s="7">
        <f>IF(AND(A19&lt;&gt;"",B19&lt;&gt;"",C19&lt;&gt;"",ISNUMBER(G19),ISNUMBER(K19),K19&lt;=G19,K19&gt;0,T19="낙찰",ISNUMBER(L19),L19&gt;0,ISNUMBER(U19),U19&gt;0,COUNTIFS(A$2:A$51,A19,B$2:B$51,B19,C$2:C$51,C19,G$2:G$51,G19)=1),"평가 가능","")</f>
        <v/>
      </c>
      <c r="X19" s="8">
        <f>IF(W19="평가 가능",(L19-U19)/U19,"")</f>
        <v/>
      </c>
      <c r="Y19" s="8">
        <f>IF(W19="평가 가능",ABS(X19),"")</f>
        <v/>
      </c>
      <c r="Z19" s="7">
        <f>IF(AND(ISNUMBER(M19),M19&gt;0,ISNUMBER(I19)),IF(M19&lt;I19,"최저가 미달",IF(M19=I19,"최저가 동액","최저가 초과")),"")</f>
        <v/>
      </c>
      <c r="AA19" s="7">
        <f>IF(AND(T19="낙찰",ISNUMBER(M19),M19&gt;0,ISNUMBER(U19)),IF(M19&lt;U19,"실제 낙찰가 미만",IF(M19=U19,"실제 낙찰가 동액","실제 낙찰가 초과")),"")</f>
        <v/>
      </c>
      <c r="AB19" s="7">
        <f>IF(AND(ISNUMBER(M19),M19&gt;0,ISNUMBER(R19)),IF(M19&lt;R19,"상한가 미만",IF(M19=R19,"상한가 동액","상한가 초과")),"")</f>
        <v/>
      </c>
      <c r="AC19" s="3" t="n"/>
      <c r="AD19" s="7">
        <f>IF(COUNTA(A19:Q19,S19:V19,AC19)=0,"",IF(OR(A19="",B19="",C19="",NOT(ISNUMBER(G19))),"식별값 확인",IF(COUNTIFS(A$2:A$51,A19,B$2:B$51,B19,C$2:C$51,C19,G$2:G$51,G19)&gt;1,"중복 회차",IF(AND(ISNUMBER(K19),K19&gt;G19),"기일 후 예측",IF(AND(T19="낙찰",W19=""),"평가 입력 확인","")))))</f>
        <v/>
      </c>
    </row>
    <row r="20">
      <c r="A20" s="2" t="n"/>
      <c r="B20" s="2" t="n"/>
      <c r="C20" s="2" t="n"/>
      <c r="D20" s="2" t="n"/>
      <c r="E20" s="2" t="n"/>
      <c r="F20" s="2" t="n"/>
      <c r="G20" s="4" t="n"/>
      <c r="H20" s="5" t="n"/>
      <c r="I20" s="5" t="n"/>
      <c r="J20" s="2" t="n"/>
      <c r="K20" s="4" t="n"/>
      <c r="L20" s="5" t="n"/>
      <c r="M20" s="5" t="n"/>
      <c r="N20" s="2" t="n"/>
      <c r="O20" s="5" t="n"/>
      <c r="P20" s="5" t="n"/>
      <c r="Q20" s="5" t="n"/>
      <c r="R20" s="6">
        <f>IF(COUNT(O20:Q20)=3,O20-P20-Q20,"")</f>
        <v/>
      </c>
      <c r="S20" s="2" t="n"/>
      <c r="T20" s="2" t="n"/>
      <c r="U20" s="5" t="n"/>
      <c r="V20" s="2" t="n"/>
      <c r="W20" s="7">
        <f>IF(AND(A20&lt;&gt;"",B20&lt;&gt;"",C20&lt;&gt;"",ISNUMBER(G20),ISNUMBER(K20),K20&lt;=G20,K20&gt;0,T20="낙찰",ISNUMBER(L20),L20&gt;0,ISNUMBER(U20),U20&gt;0,COUNTIFS(A$2:A$51,A20,B$2:B$51,B20,C$2:C$51,C20,G$2:G$51,G20)=1),"평가 가능","")</f>
        <v/>
      </c>
      <c r="X20" s="8">
        <f>IF(W20="평가 가능",(L20-U20)/U20,"")</f>
        <v/>
      </c>
      <c r="Y20" s="8">
        <f>IF(W20="평가 가능",ABS(X20),"")</f>
        <v/>
      </c>
      <c r="Z20" s="7">
        <f>IF(AND(ISNUMBER(M20),M20&gt;0,ISNUMBER(I20)),IF(M20&lt;I20,"최저가 미달",IF(M20=I20,"최저가 동액","최저가 초과")),"")</f>
        <v/>
      </c>
      <c r="AA20" s="7">
        <f>IF(AND(T20="낙찰",ISNUMBER(M20),M20&gt;0,ISNUMBER(U20)),IF(M20&lt;U20,"실제 낙찰가 미만",IF(M20=U20,"실제 낙찰가 동액","실제 낙찰가 초과")),"")</f>
        <v/>
      </c>
      <c r="AB20" s="7">
        <f>IF(AND(ISNUMBER(M20),M20&gt;0,ISNUMBER(R20)),IF(M20&lt;R20,"상한가 미만",IF(M20=R20,"상한가 동액","상한가 초과")),"")</f>
        <v/>
      </c>
      <c r="AC20" s="2" t="n"/>
      <c r="AD20" s="7">
        <f>IF(COUNTA(A20:Q20,S20:V20,AC20)=0,"",IF(OR(A20="",B20="",C20="",NOT(ISNUMBER(G20))),"식별값 확인",IF(COUNTIFS(A$2:A$51,A20,B$2:B$51,B20,C$2:C$51,C20,G$2:G$51,G20)&gt;1,"중복 회차",IF(AND(ISNUMBER(K20),K20&gt;G20),"기일 후 예측",IF(AND(T20="낙찰",W20=""),"평가 입력 확인","")))))</f>
        <v/>
      </c>
    </row>
    <row r="21">
      <c r="A21" s="3" t="n"/>
      <c r="B21" s="3" t="n"/>
      <c r="C21" s="3" t="n"/>
      <c r="D21" s="3" t="n"/>
      <c r="E21" s="3" t="n"/>
      <c r="F21" s="3" t="n"/>
      <c r="G21" s="9" t="n"/>
      <c r="H21" s="10" t="n"/>
      <c r="I21" s="10" t="n"/>
      <c r="J21" s="3" t="n"/>
      <c r="K21" s="9" t="n"/>
      <c r="L21" s="10" t="n"/>
      <c r="M21" s="10" t="n"/>
      <c r="N21" s="3" t="n"/>
      <c r="O21" s="10" t="n"/>
      <c r="P21" s="10" t="n"/>
      <c r="Q21" s="10" t="n"/>
      <c r="R21" s="6">
        <f>IF(COUNT(O21:Q21)=3,O21-P21-Q21,"")</f>
        <v/>
      </c>
      <c r="S21" s="3" t="n"/>
      <c r="T21" s="3" t="n"/>
      <c r="U21" s="10" t="n"/>
      <c r="V21" s="3" t="n"/>
      <c r="W21" s="7">
        <f>IF(AND(A21&lt;&gt;"",B21&lt;&gt;"",C21&lt;&gt;"",ISNUMBER(G21),ISNUMBER(K21),K21&lt;=G21,K21&gt;0,T21="낙찰",ISNUMBER(L21),L21&gt;0,ISNUMBER(U21),U21&gt;0,COUNTIFS(A$2:A$51,A21,B$2:B$51,B21,C$2:C$51,C21,G$2:G$51,G21)=1),"평가 가능","")</f>
        <v/>
      </c>
      <c r="X21" s="8">
        <f>IF(W21="평가 가능",(L21-U21)/U21,"")</f>
        <v/>
      </c>
      <c r="Y21" s="8">
        <f>IF(W21="평가 가능",ABS(X21),"")</f>
        <v/>
      </c>
      <c r="Z21" s="7">
        <f>IF(AND(ISNUMBER(M21),M21&gt;0,ISNUMBER(I21)),IF(M21&lt;I21,"최저가 미달",IF(M21=I21,"최저가 동액","최저가 초과")),"")</f>
        <v/>
      </c>
      <c r="AA21" s="7">
        <f>IF(AND(T21="낙찰",ISNUMBER(M21),M21&gt;0,ISNUMBER(U21)),IF(M21&lt;U21,"실제 낙찰가 미만",IF(M21=U21,"실제 낙찰가 동액","실제 낙찰가 초과")),"")</f>
        <v/>
      </c>
      <c r="AB21" s="7">
        <f>IF(AND(ISNUMBER(M21),M21&gt;0,ISNUMBER(R21)),IF(M21&lt;R21,"상한가 미만",IF(M21=R21,"상한가 동액","상한가 초과")),"")</f>
        <v/>
      </c>
      <c r="AC21" s="3" t="n"/>
      <c r="AD21" s="7">
        <f>IF(COUNTA(A21:Q21,S21:V21,AC21)=0,"",IF(OR(A21="",B21="",C21="",NOT(ISNUMBER(G21))),"식별값 확인",IF(COUNTIFS(A$2:A$51,A21,B$2:B$51,B21,C$2:C$51,C21,G$2:G$51,G21)&gt;1,"중복 회차",IF(AND(ISNUMBER(K21),K21&gt;G21),"기일 후 예측",IF(AND(T21="낙찰",W21=""),"평가 입력 확인","")))))</f>
        <v/>
      </c>
    </row>
    <row r="22">
      <c r="A22" s="2" t="n"/>
      <c r="B22" s="2" t="n"/>
      <c r="C22" s="2" t="n"/>
      <c r="D22" s="2" t="n"/>
      <c r="E22" s="2" t="n"/>
      <c r="F22" s="2" t="n"/>
      <c r="G22" s="4" t="n"/>
      <c r="H22" s="5" t="n"/>
      <c r="I22" s="5" t="n"/>
      <c r="J22" s="2" t="n"/>
      <c r="K22" s="4" t="n"/>
      <c r="L22" s="5" t="n"/>
      <c r="M22" s="5" t="n"/>
      <c r="N22" s="2" t="n"/>
      <c r="O22" s="5" t="n"/>
      <c r="P22" s="5" t="n"/>
      <c r="Q22" s="5" t="n"/>
      <c r="R22" s="6">
        <f>IF(COUNT(O22:Q22)=3,O22-P22-Q22,"")</f>
        <v/>
      </c>
      <c r="S22" s="2" t="n"/>
      <c r="T22" s="2" t="n"/>
      <c r="U22" s="5" t="n"/>
      <c r="V22" s="2" t="n"/>
      <c r="W22" s="7">
        <f>IF(AND(A22&lt;&gt;"",B22&lt;&gt;"",C22&lt;&gt;"",ISNUMBER(G22),ISNUMBER(K22),K22&lt;=G22,K22&gt;0,T22="낙찰",ISNUMBER(L22),L22&gt;0,ISNUMBER(U22),U22&gt;0,COUNTIFS(A$2:A$51,A22,B$2:B$51,B22,C$2:C$51,C22,G$2:G$51,G22)=1),"평가 가능","")</f>
        <v/>
      </c>
      <c r="X22" s="8">
        <f>IF(W22="평가 가능",(L22-U22)/U22,"")</f>
        <v/>
      </c>
      <c r="Y22" s="8">
        <f>IF(W22="평가 가능",ABS(X22),"")</f>
        <v/>
      </c>
      <c r="Z22" s="7">
        <f>IF(AND(ISNUMBER(M22),M22&gt;0,ISNUMBER(I22)),IF(M22&lt;I22,"최저가 미달",IF(M22=I22,"최저가 동액","최저가 초과")),"")</f>
        <v/>
      </c>
      <c r="AA22" s="7">
        <f>IF(AND(T22="낙찰",ISNUMBER(M22),M22&gt;0,ISNUMBER(U22)),IF(M22&lt;U22,"실제 낙찰가 미만",IF(M22=U22,"실제 낙찰가 동액","실제 낙찰가 초과")),"")</f>
        <v/>
      </c>
      <c r="AB22" s="7">
        <f>IF(AND(ISNUMBER(M22),M22&gt;0,ISNUMBER(R22)),IF(M22&lt;R22,"상한가 미만",IF(M22=R22,"상한가 동액","상한가 초과")),"")</f>
        <v/>
      </c>
      <c r="AC22" s="2" t="n"/>
      <c r="AD22" s="7">
        <f>IF(COUNTA(A22:Q22,S22:V22,AC22)=0,"",IF(OR(A22="",B22="",C22="",NOT(ISNUMBER(G22))),"식별값 확인",IF(COUNTIFS(A$2:A$51,A22,B$2:B$51,B22,C$2:C$51,C22,G$2:G$51,G22)&gt;1,"중복 회차",IF(AND(ISNUMBER(K22),K22&gt;G22),"기일 후 예측",IF(AND(T22="낙찰",W22=""),"평가 입력 확인","")))))</f>
        <v/>
      </c>
    </row>
    <row r="23">
      <c r="A23" s="3" t="n"/>
      <c r="B23" s="3" t="n"/>
      <c r="C23" s="3" t="n"/>
      <c r="D23" s="3" t="n"/>
      <c r="E23" s="3" t="n"/>
      <c r="F23" s="3" t="n"/>
      <c r="G23" s="9" t="n"/>
      <c r="H23" s="10" t="n"/>
      <c r="I23" s="10" t="n"/>
      <c r="J23" s="3" t="n"/>
      <c r="K23" s="9" t="n"/>
      <c r="L23" s="10" t="n"/>
      <c r="M23" s="10" t="n"/>
      <c r="N23" s="3" t="n"/>
      <c r="O23" s="10" t="n"/>
      <c r="P23" s="10" t="n"/>
      <c r="Q23" s="10" t="n"/>
      <c r="R23" s="6">
        <f>IF(COUNT(O23:Q23)=3,O23-P23-Q23,"")</f>
        <v/>
      </c>
      <c r="S23" s="3" t="n"/>
      <c r="T23" s="3" t="n"/>
      <c r="U23" s="10" t="n"/>
      <c r="V23" s="3" t="n"/>
      <c r="W23" s="7">
        <f>IF(AND(A23&lt;&gt;"",B23&lt;&gt;"",C23&lt;&gt;"",ISNUMBER(G23),ISNUMBER(K23),K23&lt;=G23,K23&gt;0,T23="낙찰",ISNUMBER(L23),L23&gt;0,ISNUMBER(U23),U23&gt;0,COUNTIFS(A$2:A$51,A23,B$2:B$51,B23,C$2:C$51,C23,G$2:G$51,G23)=1),"평가 가능","")</f>
        <v/>
      </c>
      <c r="X23" s="8">
        <f>IF(W23="평가 가능",(L23-U23)/U23,"")</f>
        <v/>
      </c>
      <c r="Y23" s="8">
        <f>IF(W23="평가 가능",ABS(X23),"")</f>
        <v/>
      </c>
      <c r="Z23" s="7">
        <f>IF(AND(ISNUMBER(M23),M23&gt;0,ISNUMBER(I23)),IF(M23&lt;I23,"최저가 미달",IF(M23=I23,"최저가 동액","최저가 초과")),"")</f>
        <v/>
      </c>
      <c r="AA23" s="7">
        <f>IF(AND(T23="낙찰",ISNUMBER(M23),M23&gt;0,ISNUMBER(U23)),IF(M23&lt;U23,"실제 낙찰가 미만",IF(M23=U23,"실제 낙찰가 동액","실제 낙찰가 초과")),"")</f>
        <v/>
      </c>
      <c r="AB23" s="7">
        <f>IF(AND(ISNUMBER(M23),M23&gt;0,ISNUMBER(R23)),IF(M23&lt;R23,"상한가 미만",IF(M23=R23,"상한가 동액","상한가 초과")),"")</f>
        <v/>
      </c>
      <c r="AC23" s="3" t="n"/>
      <c r="AD23" s="7">
        <f>IF(COUNTA(A23:Q23,S23:V23,AC23)=0,"",IF(OR(A23="",B23="",C23="",NOT(ISNUMBER(G23))),"식별값 확인",IF(COUNTIFS(A$2:A$51,A23,B$2:B$51,B23,C$2:C$51,C23,G$2:G$51,G23)&gt;1,"중복 회차",IF(AND(ISNUMBER(K23),K23&gt;G23),"기일 후 예측",IF(AND(T23="낙찰",W23=""),"평가 입력 확인","")))))</f>
        <v/>
      </c>
    </row>
    <row r="24">
      <c r="A24" s="2" t="n"/>
      <c r="B24" s="2" t="n"/>
      <c r="C24" s="2" t="n"/>
      <c r="D24" s="2" t="n"/>
      <c r="E24" s="2" t="n"/>
      <c r="F24" s="2" t="n"/>
      <c r="G24" s="4" t="n"/>
      <c r="H24" s="5" t="n"/>
      <c r="I24" s="5" t="n"/>
      <c r="J24" s="2" t="n"/>
      <c r="K24" s="4" t="n"/>
      <c r="L24" s="5" t="n"/>
      <c r="M24" s="5" t="n"/>
      <c r="N24" s="2" t="n"/>
      <c r="O24" s="5" t="n"/>
      <c r="P24" s="5" t="n"/>
      <c r="Q24" s="5" t="n"/>
      <c r="R24" s="6">
        <f>IF(COUNT(O24:Q24)=3,O24-P24-Q24,"")</f>
        <v/>
      </c>
      <c r="S24" s="2" t="n"/>
      <c r="T24" s="2" t="n"/>
      <c r="U24" s="5" t="n"/>
      <c r="V24" s="2" t="n"/>
      <c r="W24" s="7">
        <f>IF(AND(A24&lt;&gt;"",B24&lt;&gt;"",C24&lt;&gt;"",ISNUMBER(G24),ISNUMBER(K24),K24&lt;=G24,K24&gt;0,T24="낙찰",ISNUMBER(L24),L24&gt;0,ISNUMBER(U24),U24&gt;0,COUNTIFS(A$2:A$51,A24,B$2:B$51,B24,C$2:C$51,C24,G$2:G$51,G24)=1),"평가 가능","")</f>
        <v/>
      </c>
      <c r="X24" s="8">
        <f>IF(W24="평가 가능",(L24-U24)/U24,"")</f>
        <v/>
      </c>
      <c r="Y24" s="8">
        <f>IF(W24="평가 가능",ABS(X24),"")</f>
        <v/>
      </c>
      <c r="Z24" s="7">
        <f>IF(AND(ISNUMBER(M24),M24&gt;0,ISNUMBER(I24)),IF(M24&lt;I24,"최저가 미달",IF(M24=I24,"최저가 동액","최저가 초과")),"")</f>
        <v/>
      </c>
      <c r="AA24" s="7">
        <f>IF(AND(T24="낙찰",ISNUMBER(M24),M24&gt;0,ISNUMBER(U24)),IF(M24&lt;U24,"실제 낙찰가 미만",IF(M24=U24,"실제 낙찰가 동액","실제 낙찰가 초과")),"")</f>
        <v/>
      </c>
      <c r="AB24" s="7">
        <f>IF(AND(ISNUMBER(M24),M24&gt;0,ISNUMBER(R24)),IF(M24&lt;R24,"상한가 미만",IF(M24=R24,"상한가 동액","상한가 초과")),"")</f>
        <v/>
      </c>
      <c r="AC24" s="2" t="n"/>
      <c r="AD24" s="7">
        <f>IF(COUNTA(A24:Q24,S24:V24,AC24)=0,"",IF(OR(A24="",B24="",C24="",NOT(ISNUMBER(G24))),"식별값 확인",IF(COUNTIFS(A$2:A$51,A24,B$2:B$51,B24,C$2:C$51,C24,G$2:G$51,G24)&gt;1,"중복 회차",IF(AND(ISNUMBER(K24),K24&gt;G24),"기일 후 예측",IF(AND(T24="낙찰",W24=""),"평가 입력 확인","")))))</f>
        <v/>
      </c>
    </row>
    <row r="25">
      <c r="A25" s="3" t="n"/>
      <c r="B25" s="3" t="n"/>
      <c r="C25" s="3" t="n"/>
      <c r="D25" s="3" t="n"/>
      <c r="E25" s="3" t="n"/>
      <c r="F25" s="3" t="n"/>
      <c r="G25" s="9" t="n"/>
      <c r="H25" s="10" t="n"/>
      <c r="I25" s="10" t="n"/>
      <c r="J25" s="3" t="n"/>
      <c r="K25" s="9" t="n"/>
      <c r="L25" s="10" t="n"/>
      <c r="M25" s="10" t="n"/>
      <c r="N25" s="3" t="n"/>
      <c r="O25" s="10" t="n"/>
      <c r="P25" s="10" t="n"/>
      <c r="Q25" s="10" t="n"/>
      <c r="R25" s="6">
        <f>IF(COUNT(O25:Q25)=3,O25-P25-Q25,"")</f>
        <v/>
      </c>
      <c r="S25" s="3" t="n"/>
      <c r="T25" s="3" t="n"/>
      <c r="U25" s="10" t="n"/>
      <c r="V25" s="3" t="n"/>
      <c r="W25" s="7">
        <f>IF(AND(A25&lt;&gt;"",B25&lt;&gt;"",C25&lt;&gt;"",ISNUMBER(G25),ISNUMBER(K25),K25&lt;=G25,K25&gt;0,T25="낙찰",ISNUMBER(L25),L25&gt;0,ISNUMBER(U25),U25&gt;0,COUNTIFS(A$2:A$51,A25,B$2:B$51,B25,C$2:C$51,C25,G$2:G$51,G25)=1),"평가 가능","")</f>
        <v/>
      </c>
      <c r="X25" s="8">
        <f>IF(W25="평가 가능",(L25-U25)/U25,"")</f>
        <v/>
      </c>
      <c r="Y25" s="8">
        <f>IF(W25="평가 가능",ABS(X25),"")</f>
        <v/>
      </c>
      <c r="Z25" s="7">
        <f>IF(AND(ISNUMBER(M25),M25&gt;0,ISNUMBER(I25)),IF(M25&lt;I25,"최저가 미달",IF(M25=I25,"최저가 동액","최저가 초과")),"")</f>
        <v/>
      </c>
      <c r="AA25" s="7">
        <f>IF(AND(T25="낙찰",ISNUMBER(M25),M25&gt;0,ISNUMBER(U25)),IF(M25&lt;U25,"실제 낙찰가 미만",IF(M25=U25,"실제 낙찰가 동액","실제 낙찰가 초과")),"")</f>
        <v/>
      </c>
      <c r="AB25" s="7">
        <f>IF(AND(ISNUMBER(M25),M25&gt;0,ISNUMBER(R25)),IF(M25&lt;R25,"상한가 미만",IF(M25=R25,"상한가 동액","상한가 초과")),"")</f>
        <v/>
      </c>
      <c r="AC25" s="3" t="n"/>
      <c r="AD25" s="7">
        <f>IF(COUNTA(A25:Q25,S25:V25,AC25)=0,"",IF(OR(A25="",B25="",C25="",NOT(ISNUMBER(G25))),"식별값 확인",IF(COUNTIFS(A$2:A$51,A25,B$2:B$51,B25,C$2:C$51,C25,G$2:G$51,G25)&gt;1,"중복 회차",IF(AND(ISNUMBER(K25),K25&gt;G25),"기일 후 예측",IF(AND(T25="낙찰",W25=""),"평가 입력 확인","")))))</f>
        <v/>
      </c>
    </row>
    <row r="26">
      <c r="A26" s="2" t="n"/>
      <c r="B26" s="2" t="n"/>
      <c r="C26" s="2" t="n"/>
      <c r="D26" s="2" t="n"/>
      <c r="E26" s="2" t="n"/>
      <c r="F26" s="2" t="n"/>
      <c r="G26" s="4" t="n"/>
      <c r="H26" s="5" t="n"/>
      <c r="I26" s="5" t="n"/>
      <c r="J26" s="2" t="n"/>
      <c r="K26" s="4" t="n"/>
      <c r="L26" s="5" t="n"/>
      <c r="M26" s="5" t="n"/>
      <c r="N26" s="2" t="n"/>
      <c r="O26" s="5" t="n"/>
      <c r="P26" s="5" t="n"/>
      <c r="Q26" s="5" t="n"/>
      <c r="R26" s="6">
        <f>IF(COUNT(O26:Q26)=3,O26-P26-Q26,"")</f>
        <v/>
      </c>
      <c r="S26" s="2" t="n"/>
      <c r="T26" s="2" t="n"/>
      <c r="U26" s="5" t="n"/>
      <c r="V26" s="2" t="n"/>
      <c r="W26" s="7">
        <f>IF(AND(A26&lt;&gt;"",B26&lt;&gt;"",C26&lt;&gt;"",ISNUMBER(G26),ISNUMBER(K26),K26&lt;=G26,K26&gt;0,T26="낙찰",ISNUMBER(L26),L26&gt;0,ISNUMBER(U26),U26&gt;0,COUNTIFS(A$2:A$51,A26,B$2:B$51,B26,C$2:C$51,C26,G$2:G$51,G26)=1),"평가 가능","")</f>
        <v/>
      </c>
      <c r="X26" s="8">
        <f>IF(W26="평가 가능",(L26-U26)/U26,"")</f>
        <v/>
      </c>
      <c r="Y26" s="8">
        <f>IF(W26="평가 가능",ABS(X26),"")</f>
        <v/>
      </c>
      <c r="Z26" s="7">
        <f>IF(AND(ISNUMBER(M26),M26&gt;0,ISNUMBER(I26)),IF(M26&lt;I26,"최저가 미달",IF(M26=I26,"최저가 동액","최저가 초과")),"")</f>
        <v/>
      </c>
      <c r="AA26" s="7">
        <f>IF(AND(T26="낙찰",ISNUMBER(M26),M26&gt;0,ISNUMBER(U26)),IF(M26&lt;U26,"실제 낙찰가 미만",IF(M26=U26,"실제 낙찰가 동액","실제 낙찰가 초과")),"")</f>
        <v/>
      </c>
      <c r="AB26" s="7">
        <f>IF(AND(ISNUMBER(M26),M26&gt;0,ISNUMBER(R26)),IF(M26&lt;R26,"상한가 미만",IF(M26=R26,"상한가 동액","상한가 초과")),"")</f>
        <v/>
      </c>
      <c r="AC26" s="2" t="n"/>
      <c r="AD26" s="7">
        <f>IF(COUNTA(A26:Q26,S26:V26,AC26)=0,"",IF(OR(A26="",B26="",C26="",NOT(ISNUMBER(G26))),"식별값 확인",IF(COUNTIFS(A$2:A$51,A26,B$2:B$51,B26,C$2:C$51,C26,G$2:G$51,G26)&gt;1,"중복 회차",IF(AND(ISNUMBER(K26),K26&gt;G26),"기일 후 예측",IF(AND(T26="낙찰",W26=""),"평가 입력 확인","")))))</f>
        <v/>
      </c>
    </row>
    <row r="27">
      <c r="A27" s="3" t="n"/>
      <c r="B27" s="3" t="n"/>
      <c r="C27" s="3" t="n"/>
      <c r="D27" s="3" t="n"/>
      <c r="E27" s="3" t="n"/>
      <c r="F27" s="3" t="n"/>
      <c r="G27" s="9" t="n"/>
      <c r="H27" s="10" t="n"/>
      <c r="I27" s="10" t="n"/>
      <c r="J27" s="3" t="n"/>
      <c r="K27" s="9" t="n"/>
      <c r="L27" s="10" t="n"/>
      <c r="M27" s="10" t="n"/>
      <c r="N27" s="3" t="n"/>
      <c r="O27" s="10" t="n"/>
      <c r="P27" s="10" t="n"/>
      <c r="Q27" s="10" t="n"/>
      <c r="R27" s="6">
        <f>IF(COUNT(O27:Q27)=3,O27-P27-Q27,"")</f>
        <v/>
      </c>
      <c r="S27" s="3" t="n"/>
      <c r="T27" s="3" t="n"/>
      <c r="U27" s="10" t="n"/>
      <c r="V27" s="3" t="n"/>
      <c r="W27" s="7">
        <f>IF(AND(A27&lt;&gt;"",B27&lt;&gt;"",C27&lt;&gt;"",ISNUMBER(G27),ISNUMBER(K27),K27&lt;=G27,K27&gt;0,T27="낙찰",ISNUMBER(L27),L27&gt;0,ISNUMBER(U27),U27&gt;0,COUNTIFS(A$2:A$51,A27,B$2:B$51,B27,C$2:C$51,C27,G$2:G$51,G27)=1),"평가 가능","")</f>
        <v/>
      </c>
      <c r="X27" s="8">
        <f>IF(W27="평가 가능",(L27-U27)/U27,"")</f>
        <v/>
      </c>
      <c r="Y27" s="8">
        <f>IF(W27="평가 가능",ABS(X27),"")</f>
        <v/>
      </c>
      <c r="Z27" s="7">
        <f>IF(AND(ISNUMBER(M27),M27&gt;0,ISNUMBER(I27)),IF(M27&lt;I27,"최저가 미달",IF(M27=I27,"최저가 동액","최저가 초과")),"")</f>
        <v/>
      </c>
      <c r="AA27" s="7">
        <f>IF(AND(T27="낙찰",ISNUMBER(M27),M27&gt;0,ISNUMBER(U27)),IF(M27&lt;U27,"실제 낙찰가 미만",IF(M27=U27,"실제 낙찰가 동액","실제 낙찰가 초과")),"")</f>
        <v/>
      </c>
      <c r="AB27" s="7">
        <f>IF(AND(ISNUMBER(M27),M27&gt;0,ISNUMBER(R27)),IF(M27&lt;R27,"상한가 미만",IF(M27=R27,"상한가 동액","상한가 초과")),"")</f>
        <v/>
      </c>
      <c r="AC27" s="3" t="n"/>
      <c r="AD27" s="7">
        <f>IF(COUNTA(A27:Q27,S27:V27,AC27)=0,"",IF(OR(A27="",B27="",C27="",NOT(ISNUMBER(G27))),"식별값 확인",IF(COUNTIFS(A$2:A$51,A27,B$2:B$51,B27,C$2:C$51,C27,G$2:G$51,G27)&gt;1,"중복 회차",IF(AND(ISNUMBER(K27),K27&gt;G27),"기일 후 예측",IF(AND(T27="낙찰",W27=""),"평가 입력 확인","")))))</f>
        <v/>
      </c>
    </row>
    <row r="28">
      <c r="A28" s="2" t="n"/>
      <c r="B28" s="2" t="n"/>
      <c r="C28" s="2" t="n"/>
      <c r="D28" s="2" t="n"/>
      <c r="E28" s="2" t="n"/>
      <c r="F28" s="2" t="n"/>
      <c r="G28" s="4" t="n"/>
      <c r="H28" s="5" t="n"/>
      <c r="I28" s="5" t="n"/>
      <c r="J28" s="2" t="n"/>
      <c r="K28" s="4" t="n"/>
      <c r="L28" s="5" t="n"/>
      <c r="M28" s="5" t="n"/>
      <c r="N28" s="2" t="n"/>
      <c r="O28" s="5" t="n"/>
      <c r="P28" s="5" t="n"/>
      <c r="Q28" s="5" t="n"/>
      <c r="R28" s="6">
        <f>IF(COUNT(O28:Q28)=3,O28-P28-Q28,"")</f>
        <v/>
      </c>
      <c r="S28" s="2" t="n"/>
      <c r="T28" s="2" t="n"/>
      <c r="U28" s="5" t="n"/>
      <c r="V28" s="2" t="n"/>
      <c r="W28" s="7">
        <f>IF(AND(A28&lt;&gt;"",B28&lt;&gt;"",C28&lt;&gt;"",ISNUMBER(G28),ISNUMBER(K28),K28&lt;=G28,K28&gt;0,T28="낙찰",ISNUMBER(L28),L28&gt;0,ISNUMBER(U28),U28&gt;0,COUNTIFS(A$2:A$51,A28,B$2:B$51,B28,C$2:C$51,C28,G$2:G$51,G28)=1),"평가 가능","")</f>
        <v/>
      </c>
      <c r="X28" s="8">
        <f>IF(W28="평가 가능",(L28-U28)/U28,"")</f>
        <v/>
      </c>
      <c r="Y28" s="8">
        <f>IF(W28="평가 가능",ABS(X28),"")</f>
        <v/>
      </c>
      <c r="Z28" s="7">
        <f>IF(AND(ISNUMBER(M28),M28&gt;0,ISNUMBER(I28)),IF(M28&lt;I28,"최저가 미달",IF(M28=I28,"최저가 동액","최저가 초과")),"")</f>
        <v/>
      </c>
      <c r="AA28" s="7">
        <f>IF(AND(T28="낙찰",ISNUMBER(M28),M28&gt;0,ISNUMBER(U28)),IF(M28&lt;U28,"실제 낙찰가 미만",IF(M28=U28,"실제 낙찰가 동액","실제 낙찰가 초과")),"")</f>
        <v/>
      </c>
      <c r="AB28" s="7">
        <f>IF(AND(ISNUMBER(M28),M28&gt;0,ISNUMBER(R28)),IF(M28&lt;R28,"상한가 미만",IF(M28=R28,"상한가 동액","상한가 초과")),"")</f>
        <v/>
      </c>
      <c r="AC28" s="2" t="n"/>
      <c r="AD28" s="7">
        <f>IF(COUNTA(A28:Q28,S28:V28,AC28)=0,"",IF(OR(A28="",B28="",C28="",NOT(ISNUMBER(G28))),"식별값 확인",IF(COUNTIFS(A$2:A$51,A28,B$2:B$51,B28,C$2:C$51,C28,G$2:G$51,G28)&gt;1,"중복 회차",IF(AND(ISNUMBER(K28),K28&gt;G28),"기일 후 예측",IF(AND(T28="낙찰",W28=""),"평가 입력 확인","")))))</f>
        <v/>
      </c>
    </row>
    <row r="29">
      <c r="A29" s="3" t="n"/>
      <c r="B29" s="3" t="n"/>
      <c r="C29" s="3" t="n"/>
      <c r="D29" s="3" t="n"/>
      <c r="E29" s="3" t="n"/>
      <c r="F29" s="3" t="n"/>
      <c r="G29" s="9" t="n"/>
      <c r="H29" s="10" t="n"/>
      <c r="I29" s="10" t="n"/>
      <c r="J29" s="3" t="n"/>
      <c r="K29" s="9" t="n"/>
      <c r="L29" s="10" t="n"/>
      <c r="M29" s="10" t="n"/>
      <c r="N29" s="3" t="n"/>
      <c r="O29" s="10" t="n"/>
      <c r="P29" s="10" t="n"/>
      <c r="Q29" s="10" t="n"/>
      <c r="R29" s="6">
        <f>IF(COUNT(O29:Q29)=3,O29-P29-Q29,"")</f>
        <v/>
      </c>
      <c r="S29" s="3" t="n"/>
      <c r="T29" s="3" t="n"/>
      <c r="U29" s="10" t="n"/>
      <c r="V29" s="3" t="n"/>
      <c r="W29" s="7">
        <f>IF(AND(A29&lt;&gt;"",B29&lt;&gt;"",C29&lt;&gt;"",ISNUMBER(G29),ISNUMBER(K29),K29&lt;=G29,K29&gt;0,T29="낙찰",ISNUMBER(L29),L29&gt;0,ISNUMBER(U29),U29&gt;0,COUNTIFS(A$2:A$51,A29,B$2:B$51,B29,C$2:C$51,C29,G$2:G$51,G29)=1),"평가 가능","")</f>
        <v/>
      </c>
      <c r="X29" s="8">
        <f>IF(W29="평가 가능",(L29-U29)/U29,"")</f>
        <v/>
      </c>
      <c r="Y29" s="8">
        <f>IF(W29="평가 가능",ABS(X29),"")</f>
        <v/>
      </c>
      <c r="Z29" s="7">
        <f>IF(AND(ISNUMBER(M29),M29&gt;0,ISNUMBER(I29)),IF(M29&lt;I29,"최저가 미달",IF(M29=I29,"최저가 동액","최저가 초과")),"")</f>
        <v/>
      </c>
      <c r="AA29" s="7">
        <f>IF(AND(T29="낙찰",ISNUMBER(M29),M29&gt;0,ISNUMBER(U29)),IF(M29&lt;U29,"실제 낙찰가 미만",IF(M29=U29,"실제 낙찰가 동액","실제 낙찰가 초과")),"")</f>
        <v/>
      </c>
      <c r="AB29" s="7">
        <f>IF(AND(ISNUMBER(M29),M29&gt;0,ISNUMBER(R29)),IF(M29&lt;R29,"상한가 미만",IF(M29=R29,"상한가 동액","상한가 초과")),"")</f>
        <v/>
      </c>
      <c r="AC29" s="3" t="n"/>
      <c r="AD29" s="7">
        <f>IF(COUNTA(A29:Q29,S29:V29,AC29)=0,"",IF(OR(A29="",B29="",C29="",NOT(ISNUMBER(G29))),"식별값 확인",IF(COUNTIFS(A$2:A$51,A29,B$2:B$51,B29,C$2:C$51,C29,G$2:G$51,G29)&gt;1,"중복 회차",IF(AND(ISNUMBER(K29),K29&gt;G29),"기일 후 예측",IF(AND(T29="낙찰",W29=""),"평가 입력 확인","")))))</f>
        <v/>
      </c>
    </row>
    <row r="30">
      <c r="A30" s="2" t="n"/>
      <c r="B30" s="2" t="n"/>
      <c r="C30" s="2" t="n"/>
      <c r="D30" s="2" t="n"/>
      <c r="E30" s="2" t="n"/>
      <c r="F30" s="2" t="n"/>
      <c r="G30" s="4" t="n"/>
      <c r="H30" s="5" t="n"/>
      <c r="I30" s="5" t="n"/>
      <c r="J30" s="2" t="n"/>
      <c r="K30" s="4" t="n"/>
      <c r="L30" s="5" t="n"/>
      <c r="M30" s="5" t="n"/>
      <c r="N30" s="2" t="n"/>
      <c r="O30" s="5" t="n"/>
      <c r="P30" s="5" t="n"/>
      <c r="Q30" s="5" t="n"/>
      <c r="R30" s="6">
        <f>IF(COUNT(O30:Q30)=3,O30-P30-Q30,"")</f>
        <v/>
      </c>
      <c r="S30" s="2" t="n"/>
      <c r="T30" s="2" t="n"/>
      <c r="U30" s="5" t="n"/>
      <c r="V30" s="2" t="n"/>
      <c r="W30" s="7">
        <f>IF(AND(A30&lt;&gt;"",B30&lt;&gt;"",C30&lt;&gt;"",ISNUMBER(G30),ISNUMBER(K30),K30&lt;=G30,K30&gt;0,T30="낙찰",ISNUMBER(L30),L30&gt;0,ISNUMBER(U30),U30&gt;0,COUNTIFS(A$2:A$51,A30,B$2:B$51,B30,C$2:C$51,C30,G$2:G$51,G30)=1),"평가 가능","")</f>
        <v/>
      </c>
      <c r="X30" s="8">
        <f>IF(W30="평가 가능",(L30-U30)/U30,"")</f>
        <v/>
      </c>
      <c r="Y30" s="8">
        <f>IF(W30="평가 가능",ABS(X30),"")</f>
        <v/>
      </c>
      <c r="Z30" s="7">
        <f>IF(AND(ISNUMBER(M30),M30&gt;0,ISNUMBER(I30)),IF(M30&lt;I30,"최저가 미달",IF(M30=I30,"최저가 동액","최저가 초과")),"")</f>
        <v/>
      </c>
      <c r="AA30" s="7">
        <f>IF(AND(T30="낙찰",ISNUMBER(M30),M30&gt;0,ISNUMBER(U30)),IF(M30&lt;U30,"실제 낙찰가 미만",IF(M30=U30,"실제 낙찰가 동액","실제 낙찰가 초과")),"")</f>
        <v/>
      </c>
      <c r="AB30" s="7">
        <f>IF(AND(ISNUMBER(M30),M30&gt;0,ISNUMBER(R30)),IF(M30&lt;R30,"상한가 미만",IF(M30=R30,"상한가 동액","상한가 초과")),"")</f>
        <v/>
      </c>
      <c r="AC30" s="2" t="n"/>
      <c r="AD30" s="7">
        <f>IF(COUNTA(A30:Q30,S30:V30,AC30)=0,"",IF(OR(A30="",B30="",C30="",NOT(ISNUMBER(G30))),"식별값 확인",IF(COUNTIFS(A$2:A$51,A30,B$2:B$51,B30,C$2:C$51,C30,G$2:G$51,G30)&gt;1,"중복 회차",IF(AND(ISNUMBER(K30),K30&gt;G30),"기일 후 예측",IF(AND(T30="낙찰",W30=""),"평가 입력 확인","")))))</f>
        <v/>
      </c>
    </row>
    <row r="31">
      <c r="A31" s="3" t="n"/>
      <c r="B31" s="3" t="n"/>
      <c r="C31" s="3" t="n"/>
      <c r="D31" s="3" t="n"/>
      <c r="E31" s="3" t="n"/>
      <c r="F31" s="3" t="n"/>
      <c r="G31" s="9" t="n"/>
      <c r="H31" s="10" t="n"/>
      <c r="I31" s="10" t="n"/>
      <c r="J31" s="3" t="n"/>
      <c r="K31" s="9" t="n"/>
      <c r="L31" s="10" t="n"/>
      <c r="M31" s="10" t="n"/>
      <c r="N31" s="3" t="n"/>
      <c r="O31" s="10" t="n"/>
      <c r="P31" s="10" t="n"/>
      <c r="Q31" s="10" t="n"/>
      <c r="R31" s="6">
        <f>IF(COUNT(O31:Q31)=3,O31-P31-Q31,"")</f>
        <v/>
      </c>
      <c r="S31" s="3" t="n"/>
      <c r="T31" s="3" t="n"/>
      <c r="U31" s="10" t="n"/>
      <c r="V31" s="3" t="n"/>
      <c r="W31" s="7">
        <f>IF(AND(A31&lt;&gt;"",B31&lt;&gt;"",C31&lt;&gt;"",ISNUMBER(G31),ISNUMBER(K31),K31&lt;=G31,K31&gt;0,T31="낙찰",ISNUMBER(L31),L31&gt;0,ISNUMBER(U31),U31&gt;0,COUNTIFS(A$2:A$51,A31,B$2:B$51,B31,C$2:C$51,C31,G$2:G$51,G31)=1),"평가 가능","")</f>
        <v/>
      </c>
      <c r="X31" s="8">
        <f>IF(W31="평가 가능",(L31-U31)/U31,"")</f>
        <v/>
      </c>
      <c r="Y31" s="8">
        <f>IF(W31="평가 가능",ABS(X31),"")</f>
        <v/>
      </c>
      <c r="Z31" s="7">
        <f>IF(AND(ISNUMBER(M31),M31&gt;0,ISNUMBER(I31)),IF(M31&lt;I31,"최저가 미달",IF(M31=I31,"최저가 동액","최저가 초과")),"")</f>
        <v/>
      </c>
      <c r="AA31" s="7">
        <f>IF(AND(T31="낙찰",ISNUMBER(M31),M31&gt;0,ISNUMBER(U31)),IF(M31&lt;U31,"실제 낙찰가 미만",IF(M31=U31,"실제 낙찰가 동액","실제 낙찰가 초과")),"")</f>
        <v/>
      </c>
      <c r="AB31" s="7">
        <f>IF(AND(ISNUMBER(M31),M31&gt;0,ISNUMBER(R31)),IF(M31&lt;R31,"상한가 미만",IF(M31=R31,"상한가 동액","상한가 초과")),"")</f>
        <v/>
      </c>
      <c r="AC31" s="3" t="n"/>
      <c r="AD31" s="7">
        <f>IF(COUNTA(A31:Q31,S31:V31,AC31)=0,"",IF(OR(A31="",B31="",C31="",NOT(ISNUMBER(G31))),"식별값 확인",IF(COUNTIFS(A$2:A$51,A31,B$2:B$51,B31,C$2:C$51,C31,G$2:G$51,G31)&gt;1,"중복 회차",IF(AND(ISNUMBER(K31),K31&gt;G31),"기일 후 예측",IF(AND(T31="낙찰",W31=""),"평가 입력 확인","")))))</f>
        <v/>
      </c>
    </row>
    <row r="32">
      <c r="A32" s="2" t="n"/>
      <c r="B32" s="2" t="n"/>
      <c r="C32" s="2" t="n"/>
      <c r="D32" s="2" t="n"/>
      <c r="E32" s="2" t="n"/>
      <c r="F32" s="2" t="n"/>
      <c r="G32" s="4" t="n"/>
      <c r="H32" s="5" t="n"/>
      <c r="I32" s="5" t="n"/>
      <c r="J32" s="2" t="n"/>
      <c r="K32" s="4" t="n"/>
      <c r="L32" s="5" t="n"/>
      <c r="M32" s="5" t="n"/>
      <c r="N32" s="2" t="n"/>
      <c r="O32" s="5" t="n"/>
      <c r="P32" s="5" t="n"/>
      <c r="Q32" s="5" t="n"/>
      <c r="R32" s="6">
        <f>IF(COUNT(O32:Q32)=3,O32-P32-Q32,"")</f>
        <v/>
      </c>
      <c r="S32" s="2" t="n"/>
      <c r="T32" s="2" t="n"/>
      <c r="U32" s="5" t="n"/>
      <c r="V32" s="2" t="n"/>
      <c r="W32" s="7">
        <f>IF(AND(A32&lt;&gt;"",B32&lt;&gt;"",C32&lt;&gt;"",ISNUMBER(G32),ISNUMBER(K32),K32&lt;=G32,K32&gt;0,T32="낙찰",ISNUMBER(L32),L32&gt;0,ISNUMBER(U32),U32&gt;0,COUNTIFS(A$2:A$51,A32,B$2:B$51,B32,C$2:C$51,C32,G$2:G$51,G32)=1),"평가 가능","")</f>
        <v/>
      </c>
      <c r="X32" s="8">
        <f>IF(W32="평가 가능",(L32-U32)/U32,"")</f>
        <v/>
      </c>
      <c r="Y32" s="8">
        <f>IF(W32="평가 가능",ABS(X32),"")</f>
        <v/>
      </c>
      <c r="Z32" s="7">
        <f>IF(AND(ISNUMBER(M32),M32&gt;0,ISNUMBER(I32)),IF(M32&lt;I32,"최저가 미달",IF(M32=I32,"최저가 동액","최저가 초과")),"")</f>
        <v/>
      </c>
      <c r="AA32" s="7">
        <f>IF(AND(T32="낙찰",ISNUMBER(M32),M32&gt;0,ISNUMBER(U32)),IF(M32&lt;U32,"실제 낙찰가 미만",IF(M32=U32,"실제 낙찰가 동액","실제 낙찰가 초과")),"")</f>
        <v/>
      </c>
      <c r="AB32" s="7">
        <f>IF(AND(ISNUMBER(M32),M32&gt;0,ISNUMBER(R32)),IF(M32&lt;R32,"상한가 미만",IF(M32=R32,"상한가 동액","상한가 초과")),"")</f>
        <v/>
      </c>
      <c r="AC32" s="2" t="n"/>
      <c r="AD32" s="7">
        <f>IF(COUNTA(A32:Q32,S32:V32,AC32)=0,"",IF(OR(A32="",B32="",C32="",NOT(ISNUMBER(G32))),"식별값 확인",IF(COUNTIFS(A$2:A$51,A32,B$2:B$51,B32,C$2:C$51,C32,G$2:G$51,G32)&gt;1,"중복 회차",IF(AND(ISNUMBER(K32),K32&gt;G32),"기일 후 예측",IF(AND(T32="낙찰",W32=""),"평가 입력 확인","")))))</f>
        <v/>
      </c>
    </row>
    <row r="33">
      <c r="A33" s="3" t="n"/>
      <c r="B33" s="3" t="n"/>
      <c r="C33" s="3" t="n"/>
      <c r="D33" s="3" t="n"/>
      <c r="E33" s="3" t="n"/>
      <c r="F33" s="3" t="n"/>
      <c r="G33" s="9" t="n"/>
      <c r="H33" s="10" t="n"/>
      <c r="I33" s="10" t="n"/>
      <c r="J33" s="3" t="n"/>
      <c r="K33" s="9" t="n"/>
      <c r="L33" s="10" t="n"/>
      <c r="M33" s="10" t="n"/>
      <c r="N33" s="3" t="n"/>
      <c r="O33" s="10" t="n"/>
      <c r="P33" s="10" t="n"/>
      <c r="Q33" s="10" t="n"/>
      <c r="R33" s="6">
        <f>IF(COUNT(O33:Q33)=3,O33-P33-Q33,"")</f>
        <v/>
      </c>
      <c r="S33" s="3" t="n"/>
      <c r="T33" s="3" t="n"/>
      <c r="U33" s="10" t="n"/>
      <c r="V33" s="3" t="n"/>
      <c r="W33" s="7">
        <f>IF(AND(A33&lt;&gt;"",B33&lt;&gt;"",C33&lt;&gt;"",ISNUMBER(G33),ISNUMBER(K33),K33&lt;=G33,K33&gt;0,T33="낙찰",ISNUMBER(L33),L33&gt;0,ISNUMBER(U33),U33&gt;0,COUNTIFS(A$2:A$51,A33,B$2:B$51,B33,C$2:C$51,C33,G$2:G$51,G33)=1),"평가 가능","")</f>
        <v/>
      </c>
      <c r="X33" s="8">
        <f>IF(W33="평가 가능",(L33-U33)/U33,"")</f>
        <v/>
      </c>
      <c r="Y33" s="8">
        <f>IF(W33="평가 가능",ABS(X33),"")</f>
        <v/>
      </c>
      <c r="Z33" s="7">
        <f>IF(AND(ISNUMBER(M33),M33&gt;0,ISNUMBER(I33)),IF(M33&lt;I33,"최저가 미달",IF(M33=I33,"최저가 동액","최저가 초과")),"")</f>
        <v/>
      </c>
      <c r="AA33" s="7">
        <f>IF(AND(T33="낙찰",ISNUMBER(M33),M33&gt;0,ISNUMBER(U33)),IF(M33&lt;U33,"실제 낙찰가 미만",IF(M33=U33,"실제 낙찰가 동액","실제 낙찰가 초과")),"")</f>
        <v/>
      </c>
      <c r="AB33" s="7">
        <f>IF(AND(ISNUMBER(M33),M33&gt;0,ISNUMBER(R33)),IF(M33&lt;R33,"상한가 미만",IF(M33=R33,"상한가 동액","상한가 초과")),"")</f>
        <v/>
      </c>
      <c r="AC33" s="3" t="n"/>
      <c r="AD33" s="7">
        <f>IF(COUNTA(A33:Q33,S33:V33,AC33)=0,"",IF(OR(A33="",B33="",C33="",NOT(ISNUMBER(G33))),"식별값 확인",IF(COUNTIFS(A$2:A$51,A33,B$2:B$51,B33,C$2:C$51,C33,G$2:G$51,G33)&gt;1,"중복 회차",IF(AND(ISNUMBER(K33),K33&gt;G33),"기일 후 예측",IF(AND(T33="낙찰",W33=""),"평가 입력 확인","")))))</f>
        <v/>
      </c>
    </row>
    <row r="34">
      <c r="A34" s="2" t="n"/>
      <c r="B34" s="2" t="n"/>
      <c r="C34" s="2" t="n"/>
      <c r="D34" s="2" t="n"/>
      <c r="E34" s="2" t="n"/>
      <c r="F34" s="2" t="n"/>
      <c r="G34" s="4" t="n"/>
      <c r="H34" s="5" t="n"/>
      <c r="I34" s="5" t="n"/>
      <c r="J34" s="2" t="n"/>
      <c r="K34" s="4" t="n"/>
      <c r="L34" s="5" t="n"/>
      <c r="M34" s="5" t="n"/>
      <c r="N34" s="2" t="n"/>
      <c r="O34" s="5" t="n"/>
      <c r="P34" s="5" t="n"/>
      <c r="Q34" s="5" t="n"/>
      <c r="R34" s="6">
        <f>IF(COUNT(O34:Q34)=3,O34-P34-Q34,"")</f>
        <v/>
      </c>
      <c r="S34" s="2" t="n"/>
      <c r="T34" s="2" t="n"/>
      <c r="U34" s="5" t="n"/>
      <c r="V34" s="2" t="n"/>
      <c r="W34" s="7">
        <f>IF(AND(A34&lt;&gt;"",B34&lt;&gt;"",C34&lt;&gt;"",ISNUMBER(G34),ISNUMBER(K34),K34&lt;=G34,K34&gt;0,T34="낙찰",ISNUMBER(L34),L34&gt;0,ISNUMBER(U34),U34&gt;0,COUNTIFS(A$2:A$51,A34,B$2:B$51,B34,C$2:C$51,C34,G$2:G$51,G34)=1),"평가 가능","")</f>
        <v/>
      </c>
      <c r="X34" s="8">
        <f>IF(W34="평가 가능",(L34-U34)/U34,"")</f>
        <v/>
      </c>
      <c r="Y34" s="8">
        <f>IF(W34="평가 가능",ABS(X34),"")</f>
        <v/>
      </c>
      <c r="Z34" s="7">
        <f>IF(AND(ISNUMBER(M34),M34&gt;0,ISNUMBER(I34)),IF(M34&lt;I34,"최저가 미달",IF(M34=I34,"최저가 동액","최저가 초과")),"")</f>
        <v/>
      </c>
      <c r="AA34" s="7">
        <f>IF(AND(T34="낙찰",ISNUMBER(M34),M34&gt;0,ISNUMBER(U34)),IF(M34&lt;U34,"실제 낙찰가 미만",IF(M34=U34,"실제 낙찰가 동액","실제 낙찰가 초과")),"")</f>
        <v/>
      </c>
      <c r="AB34" s="7">
        <f>IF(AND(ISNUMBER(M34),M34&gt;0,ISNUMBER(R34)),IF(M34&lt;R34,"상한가 미만",IF(M34=R34,"상한가 동액","상한가 초과")),"")</f>
        <v/>
      </c>
      <c r="AC34" s="2" t="n"/>
      <c r="AD34" s="7">
        <f>IF(COUNTA(A34:Q34,S34:V34,AC34)=0,"",IF(OR(A34="",B34="",C34="",NOT(ISNUMBER(G34))),"식별값 확인",IF(COUNTIFS(A$2:A$51,A34,B$2:B$51,B34,C$2:C$51,C34,G$2:G$51,G34)&gt;1,"중복 회차",IF(AND(ISNUMBER(K34),K34&gt;G34),"기일 후 예측",IF(AND(T34="낙찰",W34=""),"평가 입력 확인","")))))</f>
        <v/>
      </c>
    </row>
    <row r="35">
      <c r="A35" s="3" t="n"/>
      <c r="B35" s="3" t="n"/>
      <c r="C35" s="3" t="n"/>
      <c r="D35" s="3" t="n"/>
      <c r="E35" s="3" t="n"/>
      <c r="F35" s="3" t="n"/>
      <c r="G35" s="9" t="n"/>
      <c r="H35" s="10" t="n"/>
      <c r="I35" s="10" t="n"/>
      <c r="J35" s="3" t="n"/>
      <c r="K35" s="9" t="n"/>
      <c r="L35" s="10" t="n"/>
      <c r="M35" s="10" t="n"/>
      <c r="N35" s="3" t="n"/>
      <c r="O35" s="10" t="n"/>
      <c r="P35" s="10" t="n"/>
      <c r="Q35" s="10" t="n"/>
      <c r="R35" s="6">
        <f>IF(COUNT(O35:Q35)=3,O35-P35-Q35,"")</f>
        <v/>
      </c>
      <c r="S35" s="3" t="n"/>
      <c r="T35" s="3" t="n"/>
      <c r="U35" s="10" t="n"/>
      <c r="V35" s="3" t="n"/>
      <c r="W35" s="7">
        <f>IF(AND(A35&lt;&gt;"",B35&lt;&gt;"",C35&lt;&gt;"",ISNUMBER(G35),ISNUMBER(K35),K35&lt;=G35,K35&gt;0,T35="낙찰",ISNUMBER(L35),L35&gt;0,ISNUMBER(U35),U35&gt;0,COUNTIFS(A$2:A$51,A35,B$2:B$51,B35,C$2:C$51,C35,G$2:G$51,G35)=1),"평가 가능","")</f>
        <v/>
      </c>
      <c r="X35" s="8">
        <f>IF(W35="평가 가능",(L35-U35)/U35,"")</f>
        <v/>
      </c>
      <c r="Y35" s="8">
        <f>IF(W35="평가 가능",ABS(X35),"")</f>
        <v/>
      </c>
      <c r="Z35" s="7">
        <f>IF(AND(ISNUMBER(M35),M35&gt;0,ISNUMBER(I35)),IF(M35&lt;I35,"최저가 미달",IF(M35=I35,"최저가 동액","최저가 초과")),"")</f>
        <v/>
      </c>
      <c r="AA35" s="7">
        <f>IF(AND(T35="낙찰",ISNUMBER(M35),M35&gt;0,ISNUMBER(U35)),IF(M35&lt;U35,"실제 낙찰가 미만",IF(M35=U35,"실제 낙찰가 동액","실제 낙찰가 초과")),"")</f>
        <v/>
      </c>
      <c r="AB35" s="7">
        <f>IF(AND(ISNUMBER(M35),M35&gt;0,ISNUMBER(R35)),IF(M35&lt;R35,"상한가 미만",IF(M35=R35,"상한가 동액","상한가 초과")),"")</f>
        <v/>
      </c>
      <c r="AC35" s="3" t="n"/>
      <c r="AD35" s="7">
        <f>IF(COUNTA(A35:Q35,S35:V35,AC35)=0,"",IF(OR(A35="",B35="",C35="",NOT(ISNUMBER(G35))),"식별값 확인",IF(COUNTIFS(A$2:A$51,A35,B$2:B$51,B35,C$2:C$51,C35,G$2:G$51,G35)&gt;1,"중복 회차",IF(AND(ISNUMBER(K35),K35&gt;G35),"기일 후 예측",IF(AND(T35="낙찰",W35=""),"평가 입력 확인","")))))</f>
        <v/>
      </c>
    </row>
    <row r="36">
      <c r="A36" s="2" t="n"/>
      <c r="B36" s="2" t="n"/>
      <c r="C36" s="2" t="n"/>
      <c r="D36" s="2" t="n"/>
      <c r="E36" s="2" t="n"/>
      <c r="F36" s="2" t="n"/>
      <c r="G36" s="4" t="n"/>
      <c r="H36" s="5" t="n"/>
      <c r="I36" s="5" t="n"/>
      <c r="J36" s="2" t="n"/>
      <c r="K36" s="4" t="n"/>
      <c r="L36" s="5" t="n"/>
      <c r="M36" s="5" t="n"/>
      <c r="N36" s="2" t="n"/>
      <c r="O36" s="5" t="n"/>
      <c r="P36" s="5" t="n"/>
      <c r="Q36" s="5" t="n"/>
      <c r="R36" s="6">
        <f>IF(COUNT(O36:Q36)=3,O36-P36-Q36,"")</f>
        <v/>
      </c>
      <c r="S36" s="2" t="n"/>
      <c r="T36" s="2" t="n"/>
      <c r="U36" s="5" t="n"/>
      <c r="V36" s="2" t="n"/>
      <c r="W36" s="7">
        <f>IF(AND(A36&lt;&gt;"",B36&lt;&gt;"",C36&lt;&gt;"",ISNUMBER(G36),ISNUMBER(K36),K36&lt;=G36,K36&gt;0,T36="낙찰",ISNUMBER(L36),L36&gt;0,ISNUMBER(U36),U36&gt;0,COUNTIFS(A$2:A$51,A36,B$2:B$51,B36,C$2:C$51,C36,G$2:G$51,G36)=1),"평가 가능","")</f>
        <v/>
      </c>
      <c r="X36" s="8">
        <f>IF(W36="평가 가능",(L36-U36)/U36,"")</f>
        <v/>
      </c>
      <c r="Y36" s="8">
        <f>IF(W36="평가 가능",ABS(X36),"")</f>
        <v/>
      </c>
      <c r="Z36" s="7">
        <f>IF(AND(ISNUMBER(M36),M36&gt;0,ISNUMBER(I36)),IF(M36&lt;I36,"최저가 미달",IF(M36=I36,"최저가 동액","최저가 초과")),"")</f>
        <v/>
      </c>
      <c r="AA36" s="7">
        <f>IF(AND(T36="낙찰",ISNUMBER(M36),M36&gt;0,ISNUMBER(U36)),IF(M36&lt;U36,"실제 낙찰가 미만",IF(M36=U36,"실제 낙찰가 동액","실제 낙찰가 초과")),"")</f>
        <v/>
      </c>
      <c r="AB36" s="7">
        <f>IF(AND(ISNUMBER(M36),M36&gt;0,ISNUMBER(R36)),IF(M36&lt;R36,"상한가 미만",IF(M36=R36,"상한가 동액","상한가 초과")),"")</f>
        <v/>
      </c>
      <c r="AC36" s="2" t="n"/>
      <c r="AD36" s="7">
        <f>IF(COUNTA(A36:Q36,S36:V36,AC36)=0,"",IF(OR(A36="",B36="",C36="",NOT(ISNUMBER(G36))),"식별값 확인",IF(COUNTIFS(A$2:A$51,A36,B$2:B$51,B36,C$2:C$51,C36,G$2:G$51,G36)&gt;1,"중복 회차",IF(AND(ISNUMBER(K36),K36&gt;G36),"기일 후 예측",IF(AND(T36="낙찰",W36=""),"평가 입력 확인","")))))</f>
        <v/>
      </c>
    </row>
    <row r="37">
      <c r="A37" s="3" t="n"/>
      <c r="B37" s="3" t="n"/>
      <c r="C37" s="3" t="n"/>
      <c r="D37" s="3" t="n"/>
      <c r="E37" s="3" t="n"/>
      <c r="F37" s="3" t="n"/>
      <c r="G37" s="9" t="n"/>
      <c r="H37" s="10" t="n"/>
      <c r="I37" s="10" t="n"/>
      <c r="J37" s="3" t="n"/>
      <c r="K37" s="9" t="n"/>
      <c r="L37" s="10" t="n"/>
      <c r="M37" s="10" t="n"/>
      <c r="N37" s="3" t="n"/>
      <c r="O37" s="10" t="n"/>
      <c r="P37" s="10" t="n"/>
      <c r="Q37" s="10" t="n"/>
      <c r="R37" s="6">
        <f>IF(COUNT(O37:Q37)=3,O37-P37-Q37,"")</f>
        <v/>
      </c>
      <c r="S37" s="3" t="n"/>
      <c r="T37" s="3" t="n"/>
      <c r="U37" s="10" t="n"/>
      <c r="V37" s="3" t="n"/>
      <c r="W37" s="7">
        <f>IF(AND(A37&lt;&gt;"",B37&lt;&gt;"",C37&lt;&gt;"",ISNUMBER(G37),ISNUMBER(K37),K37&lt;=G37,K37&gt;0,T37="낙찰",ISNUMBER(L37),L37&gt;0,ISNUMBER(U37),U37&gt;0,COUNTIFS(A$2:A$51,A37,B$2:B$51,B37,C$2:C$51,C37,G$2:G$51,G37)=1),"평가 가능","")</f>
        <v/>
      </c>
      <c r="X37" s="8">
        <f>IF(W37="평가 가능",(L37-U37)/U37,"")</f>
        <v/>
      </c>
      <c r="Y37" s="8">
        <f>IF(W37="평가 가능",ABS(X37),"")</f>
        <v/>
      </c>
      <c r="Z37" s="7">
        <f>IF(AND(ISNUMBER(M37),M37&gt;0,ISNUMBER(I37)),IF(M37&lt;I37,"최저가 미달",IF(M37=I37,"최저가 동액","최저가 초과")),"")</f>
        <v/>
      </c>
      <c r="AA37" s="7">
        <f>IF(AND(T37="낙찰",ISNUMBER(M37),M37&gt;0,ISNUMBER(U37)),IF(M37&lt;U37,"실제 낙찰가 미만",IF(M37=U37,"실제 낙찰가 동액","실제 낙찰가 초과")),"")</f>
        <v/>
      </c>
      <c r="AB37" s="7">
        <f>IF(AND(ISNUMBER(M37),M37&gt;0,ISNUMBER(R37)),IF(M37&lt;R37,"상한가 미만",IF(M37=R37,"상한가 동액","상한가 초과")),"")</f>
        <v/>
      </c>
      <c r="AC37" s="3" t="n"/>
      <c r="AD37" s="7">
        <f>IF(COUNTA(A37:Q37,S37:V37,AC37)=0,"",IF(OR(A37="",B37="",C37="",NOT(ISNUMBER(G37))),"식별값 확인",IF(COUNTIFS(A$2:A$51,A37,B$2:B$51,B37,C$2:C$51,C37,G$2:G$51,G37)&gt;1,"중복 회차",IF(AND(ISNUMBER(K37),K37&gt;G37),"기일 후 예측",IF(AND(T37="낙찰",W37=""),"평가 입력 확인","")))))</f>
        <v/>
      </c>
    </row>
    <row r="38">
      <c r="A38" s="2" t="n"/>
      <c r="B38" s="2" t="n"/>
      <c r="C38" s="2" t="n"/>
      <c r="D38" s="2" t="n"/>
      <c r="E38" s="2" t="n"/>
      <c r="F38" s="2" t="n"/>
      <c r="G38" s="4" t="n"/>
      <c r="H38" s="5" t="n"/>
      <c r="I38" s="5" t="n"/>
      <c r="J38" s="2" t="n"/>
      <c r="K38" s="4" t="n"/>
      <c r="L38" s="5" t="n"/>
      <c r="M38" s="5" t="n"/>
      <c r="N38" s="2" t="n"/>
      <c r="O38" s="5" t="n"/>
      <c r="P38" s="5" t="n"/>
      <c r="Q38" s="5" t="n"/>
      <c r="R38" s="6">
        <f>IF(COUNT(O38:Q38)=3,O38-P38-Q38,"")</f>
        <v/>
      </c>
      <c r="S38" s="2" t="n"/>
      <c r="T38" s="2" t="n"/>
      <c r="U38" s="5" t="n"/>
      <c r="V38" s="2" t="n"/>
      <c r="W38" s="7">
        <f>IF(AND(A38&lt;&gt;"",B38&lt;&gt;"",C38&lt;&gt;"",ISNUMBER(G38),ISNUMBER(K38),K38&lt;=G38,K38&gt;0,T38="낙찰",ISNUMBER(L38),L38&gt;0,ISNUMBER(U38),U38&gt;0,COUNTIFS(A$2:A$51,A38,B$2:B$51,B38,C$2:C$51,C38,G$2:G$51,G38)=1),"평가 가능","")</f>
        <v/>
      </c>
      <c r="X38" s="8">
        <f>IF(W38="평가 가능",(L38-U38)/U38,"")</f>
        <v/>
      </c>
      <c r="Y38" s="8">
        <f>IF(W38="평가 가능",ABS(X38),"")</f>
        <v/>
      </c>
      <c r="Z38" s="7">
        <f>IF(AND(ISNUMBER(M38),M38&gt;0,ISNUMBER(I38)),IF(M38&lt;I38,"최저가 미달",IF(M38=I38,"최저가 동액","최저가 초과")),"")</f>
        <v/>
      </c>
      <c r="AA38" s="7">
        <f>IF(AND(T38="낙찰",ISNUMBER(M38),M38&gt;0,ISNUMBER(U38)),IF(M38&lt;U38,"실제 낙찰가 미만",IF(M38=U38,"실제 낙찰가 동액","실제 낙찰가 초과")),"")</f>
        <v/>
      </c>
      <c r="AB38" s="7">
        <f>IF(AND(ISNUMBER(M38),M38&gt;0,ISNUMBER(R38)),IF(M38&lt;R38,"상한가 미만",IF(M38=R38,"상한가 동액","상한가 초과")),"")</f>
        <v/>
      </c>
      <c r="AC38" s="2" t="n"/>
      <c r="AD38" s="7">
        <f>IF(COUNTA(A38:Q38,S38:V38,AC38)=0,"",IF(OR(A38="",B38="",C38="",NOT(ISNUMBER(G38))),"식별값 확인",IF(COUNTIFS(A$2:A$51,A38,B$2:B$51,B38,C$2:C$51,C38,G$2:G$51,G38)&gt;1,"중복 회차",IF(AND(ISNUMBER(K38),K38&gt;G38),"기일 후 예측",IF(AND(T38="낙찰",W38=""),"평가 입력 확인","")))))</f>
        <v/>
      </c>
    </row>
    <row r="39">
      <c r="A39" s="3" t="n"/>
      <c r="B39" s="3" t="n"/>
      <c r="C39" s="3" t="n"/>
      <c r="D39" s="3" t="n"/>
      <c r="E39" s="3" t="n"/>
      <c r="F39" s="3" t="n"/>
      <c r="G39" s="9" t="n"/>
      <c r="H39" s="10" t="n"/>
      <c r="I39" s="10" t="n"/>
      <c r="J39" s="3" t="n"/>
      <c r="K39" s="9" t="n"/>
      <c r="L39" s="10" t="n"/>
      <c r="M39" s="10" t="n"/>
      <c r="N39" s="3" t="n"/>
      <c r="O39" s="10" t="n"/>
      <c r="P39" s="10" t="n"/>
      <c r="Q39" s="10" t="n"/>
      <c r="R39" s="6">
        <f>IF(COUNT(O39:Q39)=3,O39-P39-Q39,"")</f>
        <v/>
      </c>
      <c r="S39" s="3" t="n"/>
      <c r="T39" s="3" t="n"/>
      <c r="U39" s="10" t="n"/>
      <c r="V39" s="3" t="n"/>
      <c r="W39" s="7">
        <f>IF(AND(A39&lt;&gt;"",B39&lt;&gt;"",C39&lt;&gt;"",ISNUMBER(G39),ISNUMBER(K39),K39&lt;=G39,K39&gt;0,T39="낙찰",ISNUMBER(L39),L39&gt;0,ISNUMBER(U39),U39&gt;0,COUNTIFS(A$2:A$51,A39,B$2:B$51,B39,C$2:C$51,C39,G$2:G$51,G39)=1),"평가 가능","")</f>
        <v/>
      </c>
      <c r="X39" s="8">
        <f>IF(W39="평가 가능",(L39-U39)/U39,"")</f>
        <v/>
      </c>
      <c r="Y39" s="8">
        <f>IF(W39="평가 가능",ABS(X39),"")</f>
        <v/>
      </c>
      <c r="Z39" s="7">
        <f>IF(AND(ISNUMBER(M39),M39&gt;0,ISNUMBER(I39)),IF(M39&lt;I39,"최저가 미달",IF(M39=I39,"최저가 동액","최저가 초과")),"")</f>
        <v/>
      </c>
      <c r="AA39" s="7">
        <f>IF(AND(T39="낙찰",ISNUMBER(M39),M39&gt;0,ISNUMBER(U39)),IF(M39&lt;U39,"실제 낙찰가 미만",IF(M39=U39,"실제 낙찰가 동액","실제 낙찰가 초과")),"")</f>
        <v/>
      </c>
      <c r="AB39" s="7">
        <f>IF(AND(ISNUMBER(M39),M39&gt;0,ISNUMBER(R39)),IF(M39&lt;R39,"상한가 미만",IF(M39=R39,"상한가 동액","상한가 초과")),"")</f>
        <v/>
      </c>
      <c r="AC39" s="3" t="n"/>
      <c r="AD39" s="7">
        <f>IF(COUNTA(A39:Q39,S39:V39,AC39)=0,"",IF(OR(A39="",B39="",C39="",NOT(ISNUMBER(G39))),"식별값 확인",IF(COUNTIFS(A$2:A$51,A39,B$2:B$51,B39,C$2:C$51,C39,G$2:G$51,G39)&gt;1,"중복 회차",IF(AND(ISNUMBER(K39),K39&gt;G39),"기일 후 예측",IF(AND(T39="낙찰",W39=""),"평가 입력 확인","")))))</f>
        <v/>
      </c>
    </row>
    <row r="40">
      <c r="A40" s="2" t="n"/>
      <c r="B40" s="2" t="n"/>
      <c r="C40" s="2" t="n"/>
      <c r="D40" s="2" t="n"/>
      <c r="E40" s="2" t="n"/>
      <c r="F40" s="2" t="n"/>
      <c r="G40" s="4" t="n"/>
      <c r="H40" s="5" t="n"/>
      <c r="I40" s="5" t="n"/>
      <c r="J40" s="2" t="n"/>
      <c r="K40" s="4" t="n"/>
      <c r="L40" s="5" t="n"/>
      <c r="M40" s="5" t="n"/>
      <c r="N40" s="2" t="n"/>
      <c r="O40" s="5" t="n"/>
      <c r="P40" s="5" t="n"/>
      <c r="Q40" s="5" t="n"/>
      <c r="R40" s="6">
        <f>IF(COUNT(O40:Q40)=3,O40-P40-Q40,"")</f>
        <v/>
      </c>
      <c r="S40" s="2" t="n"/>
      <c r="T40" s="2" t="n"/>
      <c r="U40" s="5" t="n"/>
      <c r="V40" s="2" t="n"/>
      <c r="W40" s="7">
        <f>IF(AND(A40&lt;&gt;"",B40&lt;&gt;"",C40&lt;&gt;"",ISNUMBER(G40),ISNUMBER(K40),K40&lt;=G40,K40&gt;0,T40="낙찰",ISNUMBER(L40),L40&gt;0,ISNUMBER(U40),U40&gt;0,COUNTIFS(A$2:A$51,A40,B$2:B$51,B40,C$2:C$51,C40,G$2:G$51,G40)=1),"평가 가능","")</f>
        <v/>
      </c>
      <c r="X40" s="8">
        <f>IF(W40="평가 가능",(L40-U40)/U40,"")</f>
        <v/>
      </c>
      <c r="Y40" s="8">
        <f>IF(W40="평가 가능",ABS(X40),"")</f>
        <v/>
      </c>
      <c r="Z40" s="7">
        <f>IF(AND(ISNUMBER(M40),M40&gt;0,ISNUMBER(I40)),IF(M40&lt;I40,"최저가 미달",IF(M40=I40,"최저가 동액","최저가 초과")),"")</f>
        <v/>
      </c>
      <c r="AA40" s="7">
        <f>IF(AND(T40="낙찰",ISNUMBER(M40),M40&gt;0,ISNUMBER(U40)),IF(M40&lt;U40,"실제 낙찰가 미만",IF(M40=U40,"실제 낙찰가 동액","실제 낙찰가 초과")),"")</f>
        <v/>
      </c>
      <c r="AB40" s="7">
        <f>IF(AND(ISNUMBER(M40),M40&gt;0,ISNUMBER(R40)),IF(M40&lt;R40,"상한가 미만",IF(M40=R40,"상한가 동액","상한가 초과")),"")</f>
        <v/>
      </c>
      <c r="AC40" s="2" t="n"/>
      <c r="AD40" s="7">
        <f>IF(COUNTA(A40:Q40,S40:V40,AC40)=0,"",IF(OR(A40="",B40="",C40="",NOT(ISNUMBER(G40))),"식별값 확인",IF(COUNTIFS(A$2:A$51,A40,B$2:B$51,B40,C$2:C$51,C40,G$2:G$51,G40)&gt;1,"중복 회차",IF(AND(ISNUMBER(K40),K40&gt;G40),"기일 후 예측",IF(AND(T40="낙찰",W40=""),"평가 입력 확인","")))))</f>
        <v/>
      </c>
    </row>
    <row r="41">
      <c r="A41" s="3" t="n"/>
      <c r="B41" s="3" t="n"/>
      <c r="C41" s="3" t="n"/>
      <c r="D41" s="3" t="n"/>
      <c r="E41" s="3" t="n"/>
      <c r="F41" s="3" t="n"/>
      <c r="G41" s="9" t="n"/>
      <c r="H41" s="10" t="n"/>
      <c r="I41" s="10" t="n"/>
      <c r="J41" s="3" t="n"/>
      <c r="K41" s="9" t="n"/>
      <c r="L41" s="10" t="n"/>
      <c r="M41" s="10" t="n"/>
      <c r="N41" s="3" t="n"/>
      <c r="O41" s="10" t="n"/>
      <c r="P41" s="10" t="n"/>
      <c r="Q41" s="10" t="n"/>
      <c r="R41" s="6">
        <f>IF(COUNT(O41:Q41)=3,O41-P41-Q41,"")</f>
        <v/>
      </c>
      <c r="S41" s="3" t="n"/>
      <c r="T41" s="3" t="n"/>
      <c r="U41" s="10" t="n"/>
      <c r="V41" s="3" t="n"/>
      <c r="W41" s="7">
        <f>IF(AND(A41&lt;&gt;"",B41&lt;&gt;"",C41&lt;&gt;"",ISNUMBER(G41),ISNUMBER(K41),K41&lt;=G41,K41&gt;0,T41="낙찰",ISNUMBER(L41),L41&gt;0,ISNUMBER(U41),U41&gt;0,COUNTIFS(A$2:A$51,A41,B$2:B$51,B41,C$2:C$51,C41,G$2:G$51,G41)=1),"평가 가능","")</f>
        <v/>
      </c>
      <c r="X41" s="8">
        <f>IF(W41="평가 가능",(L41-U41)/U41,"")</f>
        <v/>
      </c>
      <c r="Y41" s="8">
        <f>IF(W41="평가 가능",ABS(X41),"")</f>
        <v/>
      </c>
      <c r="Z41" s="7">
        <f>IF(AND(ISNUMBER(M41),M41&gt;0,ISNUMBER(I41)),IF(M41&lt;I41,"최저가 미달",IF(M41=I41,"최저가 동액","최저가 초과")),"")</f>
        <v/>
      </c>
      <c r="AA41" s="7">
        <f>IF(AND(T41="낙찰",ISNUMBER(M41),M41&gt;0,ISNUMBER(U41)),IF(M41&lt;U41,"실제 낙찰가 미만",IF(M41=U41,"실제 낙찰가 동액","실제 낙찰가 초과")),"")</f>
        <v/>
      </c>
      <c r="AB41" s="7">
        <f>IF(AND(ISNUMBER(M41),M41&gt;0,ISNUMBER(R41)),IF(M41&lt;R41,"상한가 미만",IF(M41=R41,"상한가 동액","상한가 초과")),"")</f>
        <v/>
      </c>
      <c r="AC41" s="3" t="n"/>
      <c r="AD41" s="7">
        <f>IF(COUNTA(A41:Q41,S41:V41,AC41)=0,"",IF(OR(A41="",B41="",C41="",NOT(ISNUMBER(G41))),"식별값 확인",IF(COUNTIFS(A$2:A$51,A41,B$2:B$51,B41,C$2:C$51,C41,G$2:G$51,G41)&gt;1,"중복 회차",IF(AND(ISNUMBER(K41),K41&gt;G41),"기일 후 예측",IF(AND(T41="낙찰",W41=""),"평가 입력 확인","")))))</f>
        <v/>
      </c>
    </row>
    <row r="42">
      <c r="A42" s="2" t="n"/>
      <c r="B42" s="2" t="n"/>
      <c r="C42" s="2" t="n"/>
      <c r="D42" s="2" t="n"/>
      <c r="E42" s="2" t="n"/>
      <c r="F42" s="2" t="n"/>
      <c r="G42" s="4" t="n"/>
      <c r="H42" s="5" t="n"/>
      <c r="I42" s="5" t="n"/>
      <c r="J42" s="2" t="n"/>
      <c r="K42" s="4" t="n"/>
      <c r="L42" s="5" t="n"/>
      <c r="M42" s="5" t="n"/>
      <c r="N42" s="2" t="n"/>
      <c r="O42" s="5" t="n"/>
      <c r="P42" s="5" t="n"/>
      <c r="Q42" s="5" t="n"/>
      <c r="R42" s="6">
        <f>IF(COUNT(O42:Q42)=3,O42-P42-Q42,"")</f>
        <v/>
      </c>
      <c r="S42" s="2" t="n"/>
      <c r="T42" s="2" t="n"/>
      <c r="U42" s="5" t="n"/>
      <c r="V42" s="2" t="n"/>
      <c r="W42" s="7">
        <f>IF(AND(A42&lt;&gt;"",B42&lt;&gt;"",C42&lt;&gt;"",ISNUMBER(G42),ISNUMBER(K42),K42&lt;=G42,K42&gt;0,T42="낙찰",ISNUMBER(L42),L42&gt;0,ISNUMBER(U42),U42&gt;0,COUNTIFS(A$2:A$51,A42,B$2:B$51,B42,C$2:C$51,C42,G$2:G$51,G42)=1),"평가 가능","")</f>
        <v/>
      </c>
      <c r="X42" s="8">
        <f>IF(W42="평가 가능",(L42-U42)/U42,"")</f>
        <v/>
      </c>
      <c r="Y42" s="8">
        <f>IF(W42="평가 가능",ABS(X42),"")</f>
        <v/>
      </c>
      <c r="Z42" s="7">
        <f>IF(AND(ISNUMBER(M42),M42&gt;0,ISNUMBER(I42)),IF(M42&lt;I42,"최저가 미달",IF(M42=I42,"최저가 동액","최저가 초과")),"")</f>
        <v/>
      </c>
      <c r="AA42" s="7">
        <f>IF(AND(T42="낙찰",ISNUMBER(M42),M42&gt;0,ISNUMBER(U42)),IF(M42&lt;U42,"실제 낙찰가 미만",IF(M42=U42,"실제 낙찰가 동액","실제 낙찰가 초과")),"")</f>
        <v/>
      </c>
      <c r="AB42" s="7">
        <f>IF(AND(ISNUMBER(M42),M42&gt;0,ISNUMBER(R42)),IF(M42&lt;R42,"상한가 미만",IF(M42=R42,"상한가 동액","상한가 초과")),"")</f>
        <v/>
      </c>
      <c r="AC42" s="2" t="n"/>
      <c r="AD42" s="7">
        <f>IF(COUNTA(A42:Q42,S42:V42,AC42)=0,"",IF(OR(A42="",B42="",C42="",NOT(ISNUMBER(G42))),"식별값 확인",IF(COUNTIFS(A$2:A$51,A42,B$2:B$51,B42,C$2:C$51,C42,G$2:G$51,G42)&gt;1,"중복 회차",IF(AND(ISNUMBER(K42),K42&gt;G42),"기일 후 예측",IF(AND(T42="낙찰",W42=""),"평가 입력 확인","")))))</f>
        <v/>
      </c>
    </row>
    <row r="43">
      <c r="A43" s="3" t="n"/>
      <c r="B43" s="3" t="n"/>
      <c r="C43" s="3" t="n"/>
      <c r="D43" s="3" t="n"/>
      <c r="E43" s="3" t="n"/>
      <c r="F43" s="3" t="n"/>
      <c r="G43" s="9" t="n"/>
      <c r="H43" s="10" t="n"/>
      <c r="I43" s="10" t="n"/>
      <c r="J43" s="3" t="n"/>
      <c r="K43" s="9" t="n"/>
      <c r="L43" s="10" t="n"/>
      <c r="M43" s="10" t="n"/>
      <c r="N43" s="3" t="n"/>
      <c r="O43" s="10" t="n"/>
      <c r="P43" s="10" t="n"/>
      <c r="Q43" s="10" t="n"/>
      <c r="R43" s="6">
        <f>IF(COUNT(O43:Q43)=3,O43-P43-Q43,"")</f>
        <v/>
      </c>
      <c r="S43" s="3" t="n"/>
      <c r="T43" s="3" t="n"/>
      <c r="U43" s="10" t="n"/>
      <c r="V43" s="3" t="n"/>
      <c r="W43" s="7">
        <f>IF(AND(A43&lt;&gt;"",B43&lt;&gt;"",C43&lt;&gt;"",ISNUMBER(G43),ISNUMBER(K43),K43&lt;=G43,K43&gt;0,T43="낙찰",ISNUMBER(L43),L43&gt;0,ISNUMBER(U43),U43&gt;0,COUNTIFS(A$2:A$51,A43,B$2:B$51,B43,C$2:C$51,C43,G$2:G$51,G43)=1),"평가 가능","")</f>
        <v/>
      </c>
      <c r="X43" s="8">
        <f>IF(W43="평가 가능",(L43-U43)/U43,"")</f>
        <v/>
      </c>
      <c r="Y43" s="8">
        <f>IF(W43="평가 가능",ABS(X43),"")</f>
        <v/>
      </c>
      <c r="Z43" s="7">
        <f>IF(AND(ISNUMBER(M43),M43&gt;0,ISNUMBER(I43)),IF(M43&lt;I43,"최저가 미달",IF(M43=I43,"최저가 동액","최저가 초과")),"")</f>
        <v/>
      </c>
      <c r="AA43" s="7">
        <f>IF(AND(T43="낙찰",ISNUMBER(M43),M43&gt;0,ISNUMBER(U43)),IF(M43&lt;U43,"실제 낙찰가 미만",IF(M43=U43,"실제 낙찰가 동액","실제 낙찰가 초과")),"")</f>
        <v/>
      </c>
      <c r="AB43" s="7">
        <f>IF(AND(ISNUMBER(M43),M43&gt;0,ISNUMBER(R43)),IF(M43&lt;R43,"상한가 미만",IF(M43=R43,"상한가 동액","상한가 초과")),"")</f>
        <v/>
      </c>
      <c r="AC43" s="3" t="n"/>
      <c r="AD43" s="7">
        <f>IF(COUNTA(A43:Q43,S43:V43,AC43)=0,"",IF(OR(A43="",B43="",C43="",NOT(ISNUMBER(G43))),"식별값 확인",IF(COUNTIFS(A$2:A$51,A43,B$2:B$51,B43,C$2:C$51,C43,G$2:G$51,G43)&gt;1,"중복 회차",IF(AND(ISNUMBER(K43),K43&gt;G43),"기일 후 예측",IF(AND(T43="낙찰",W43=""),"평가 입력 확인","")))))</f>
        <v/>
      </c>
    </row>
    <row r="44">
      <c r="A44" s="2" t="n"/>
      <c r="B44" s="2" t="n"/>
      <c r="C44" s="2" t="n"/>
      <c r="D44" s="2" t="n"/>
      <c r="E44" s="2" t="n"/>
      <c r="F44" s="2" t="n"/>
      <c r="G44" s="4" t="n"/>
      <c r="H44" s="5" t="n"/>
      <c r="I44" s="5" t="n"/>
      <c r="J44" s="2" t="n"/>
      <c r="K44" s="4" t="n"/>
      <c r="L44" s="5" t="n"/>
      <c r="M44" s="5" t="n"/>
      <c r="N44" s="2" t="n"/>
      <c r="O44" s="5" t="n"/>
      <c r="P44" s="5" t="n"/>
      <c r="Q44" s="5" t="n"/>
      <c r="R44" s="6">
        <f>IF(COUNT(O44:Q44)=3,O44-P44-Q44,"")</f>
        <v/>
      </c>
      <c r="S44" s="2" t="n"/>
      <c r="T44" s="2" t="n"/>
      <c r="U44" s="5" t="n"/>
      <c r="V44" s="2" t="n"/>
      <c r="W44" s="7">
        <f>IF(AND(A44&lt;&gt;"",B44&lt;&gt;"",C44&lt;&gt;"",ISNUMBER(G44),ISNUMBER(K44),K44&lt;=G44,K44&gt;0,T44="낙찰",ISNUMBER(L44),L44&gt;0,ISNUMBER(U44),U44&gt;0,COUNTIFS(A$2:A$51,A44,B$2:B$51,B44,C$2:C$51,C44,G$2:G$51,G44)=1),"평가 가능","")</f>
        <v/>
      </c>
      <c r="X44" s="8">
        <f>IF(W44="평가 가능",(L44-U44)/U44,"")</f>
        <v/>
      </c>
      <c r="Y44" s="8">
        <f>IF(W44="평가 가능",ABS(X44),"")</f>
        <v/>
      </c>
      <c r="Z44" s="7">
        <f>IF(AND(ISNUMBER(M44),M44&gt;0,ISNUMBER(I44)),IF(M44&lt;I44,"최저가 미달",IF(M44=I44,"최저가 동액","최저가 초과")),"")</f>
        <v/>
      </c>
      <c r="AA44" s="7">
        <f>IF(AND(T44="낙찰",ISNUMBER(M44),M44&gt;0,ISNUMBER(U44)),IF(M44&lt;U44,"실제 낙찰가 미만",IF(M44=U44,"실제 낙찰가 동액","실제 낙찰가 초과")),"")</f>
        <v/>
      </c>
      <c r="AB44" s="7">
        <f>IF(AND(ISNUMBER(M44),M44&gt;0,ISNUMBER(R44)),IF(M44&lt;R44,"상한가 미만",IF(M44=R44,"상한가 동액","상한가 초과")),"")</f>
        <v/>
      </c>
      <c r="AC44" s="2" t="n"/>
      <c r="AD44" s="7">
        <f>IF(COUNTA(A44:Q44,S44:V44,AC44)=0,"",IF(OR(A44="",B44="",C44="",NOT(ISNUMBER(G44))),"식별값 확인",IF(COUNTIFS(A$2:A$51,A44,B$2:B$51,B44,C$2:C$51,C44,G$2:G$51,G44)&gt;1,"중복 회차",IF(AND(ISNUMBER(K44),K44&gt;G44),"기일 후 예측",IF(AND(T44="낙찰",W44=""),"평가 입력 확인","")))))</f>
        <v/>
      </c>
    </row>
    <row r="45">
      <c r="A45" s="3" t="n"/>
      <c r="B45" s="3" t="n"/>
      <c r="C45" s="3" t="n"/>
      <c r="D45" s="3" t="n"/>
      <c r="E45" s="3" t="n"/>
      <c r="F45" s="3" t="n"/>
      <c r="G45" s="9" t="n"/>
      <c r="H45" s="10" t="n"/>
      <c r="I45" s="10" t="n"/>
      <c r="J45" s="3" t="n"/>
      <c r="K45" s="9" t="n"/>
      <c r="L45" s="10" t="n"/>
      <c r="M45" s="10" t="n"/>
      <c r="N45" s="3" t="n"/>
      <c r="O45" s="10" t="n"/>
      <c r="P45" s="10" t="n"/>
      <c r="Q45" s="10" t="n"/>
      <c r="R45" s="6">
        <f>IF(COUNT(O45:Q45)=3,O45-P45-Q45,"")</f>
        <v/>
      </c>
      <c r="S45" s="3" t="n"/>
      <c r="T45" s="3" t="n"/>
      <c r="U45" s="10" t="n"/>
      <c r="V45" s="3" t="n"/>
      <c r="W45" s="7">
        <f>IF(AND(A45&lt;&gt;"",B45&lt;&gt;"",C45&lt;&gt;"",ISNUMBER(G45),ISNUMBER(K45),K45&lt;=G45,K45&gt;0,T45="낙찰",ISNUMBER(L45),L45&gt;0,ISNUMBER(U45),U45&gt;0,COUNTIFS(A$2:A$51,A45,B$2:B$51,B45,C$2:C$51,C45,G$2:G$51,G45)=1),"평가 가능","")</f>
        <v/>
      </c>
      <c r="X45" s="8">
        <f>IF(W45="평가 가능",(L45-U45)/U45,"")</f>
        <v/>
      </c>
      <c r="Y45" s="8">
        <f>IF(W45="평가 가능",ABS(X45),"")</f>
        <v/>
      </c>
      <c r="Z45" s="7">
        <f>IF(AND(ISNUMBER(M45),M45&gt;0,ISNUMBER(I45)),IF(M45&lt;I45,"최저가 미달",IF(M45=I45,"최저가 동액","최저가 초과")),"")</f>
        <v/>
      </c>
      <c r="AA45" s="7">
        <f>IF(AND(T45="낙찰",ISNUMBER(M45),M45&gt;0,ISNUMBER(U45)),IF(M45&lt;U45,"실제 낙찰가 미만",IF(M45=U45,"실제 낙찰가 동액","실제 낙찰가 초과")),"")</f>
        <v/>
      </c>
      <c r="AB45" s="7">
        <f>IF(AND(ISNUMBER(M45),M45&gt;0,ISNUMBER(R45)),IF(M45&lt;R45,"상한가 미만",IF(M45=R45,"상한가 동액","상한가 초과")),"")</f>
        <v/>
      </c>
      <c r="AC45" s="3" t="n"/>
      <c r="AD45" s="7">
        <f>IF(COUNTA(A45:Q45,S45:V45,AC45)=0,"",IF(OR(A45="",B45="",C45="",NOT(ISNUMBER(G45))),"식별값 확인",IF(COUNTIFS(A$2:A$51,A45,B$2:B$51,B45,C$2:C$51,C45,G$2:G$51,G45)&gt;1,"중복 회차",IF(AND(ISNUMBER(K45),K45&gt;G45),"기일 후 예측",IF(AND(T45="낙찰",W45=""),"평가 입력 확인","")))))</f>
        <v/>
      </c>
    </row>
    <row r="46">
      <c r="A46" s="2" t="n"/>
      <c r="B46" s="2" t="n"/>
      <c r="C46" s="2" t="n"/>
      <c r="D46" s="2" t="n"/>
      <c r="E46" s="2" t="n"/>
      <c r="F46" s="2" t="n"/>
      <c r="G46" s="4" t="n"/>
      <c r="H46" s="5" t="n"/>
      <c r="I46" s="5" t="n"/>
      <c r="J46" s="2" t="n"/>
      <c r="K46" s="4" t="n"/>
      <c r="L46" s="5" t="n"/>
      <c r="M46" s="5" t="n"/>
      <c r="N46" s="2" t="n"/>
      <c r="O46" s="5" t="n"/>
      <c r="P46" s="5" t="n"/>
      <c r="Q46" s="5" t="n"/>
      <c r="R46" s="6">
        <f>IF(COUNT(O46:Q46)=3,O46-P46-Q46,"")</f>
        <v/>
      </c>
      <c r="S46" s="2" t="n"/>
      <c r="T46" s="2" t="n"/>
      <c r="U46" s="5" t="n"/>
      <c r="V46" s="2" t="n"/>
      <c r="W46" s="7">
        <f>IF(AND(A46&lt;&gt;"",B46&lt;&gt;"",C46&lt;&gt;"",ISNUMBER(G46),ISNUMBER(K46),K46&lt;=G46,K46&gt;0,T46="낙찰",ISNUMBER(L46),L46&gt;0,ISNUMBER(U46),U46&gt;0,COUNTIFS(A$2:A$51,A46,B$2:B$51,B46,C$2:C$51,C46,G$2:G$51,G46)=1),"평가 가능","")</f>
        <v/>
      </c>
      <c r="X46" s="8">
        <f>IF(W46="평가 가능",(L46-U46)/U46,"")</f>
        <v/>
      </c>
      <c r="Y46" s="8">
        <f>IF(W46="평가 가능",ABS(X46),"")</f>
        <v/>
      </c>
      <c r="Z46" s="7">
        <f>IF(AND(ISNUMBER(M46),M46&gt;0,ISNUMBER(I46)),IF(M46&lt;I46,"최저가 미달",IF(M46=I46,"최저가 동액","최저가 초과")),"")</f>
        <v/>
      </c>
      <c r="AA46" s="7">
        <f>IF(AND(T46="낙찰",ISNUMBER(M46),M46&gt;0,ISNUMBER(U46)),IF(M46&lt;U46,"실제 낙찰가 미만",IF(M46=U46,"실제 낙찰가 동액","실제 낙찰가 초과")),"")</f>
        <v/>
      </c>
      <c r="AB46" s="7">
        <f>IF(AND(ISNUMBER(M46),M46&gt;0,ISNUMBER(R46)),IF(M46&lt;R46,"상한가 미만",IF(M46=R46,"상한가 동액","상한가 초과")),"")</f>
        <v/>
      </c>
      <c r="AC46" s="2" t="n"/>
      <c r="AD46" s="7">
        <f>IF(COUNTA(A46:Q46,S46:V46,AC46)=0,"",IF(OR(A46="",B46="",C46="",NOT(ISNUMBER(G46))),"식별값 확인",IF(COUNTIFS(A$2:A$51,A46,B$2:B$51,B46,C$2:C$51,C46,G$2:G$51,G46)&gt;1,"중복 회차",IF(AND(ISNUMBER(K46),K46&gt;G46),"기일 후 예측",IF(AND(T46="낙찰",W46=""),"평가 입력 확인","")))))</f>
        <v/>
      </c>
    </row>
    <row r="47">
      <c r="A47" s="3" t="n"/>
      <c r="B47" s="3" t="n"/>
      <c r="C47" s="3" t="n"/>
      <c r="D47" s="3" t="n"/>
      <c r="E47" s="3" t="n"/>
      <c r="F47" s="3" t="n"/>
      <c r="G47" s="9" t="n"/>
      <c r="H47" s="10" t="n"/>
      <c r="I47" s="10" t="n"/>
      <c r="J47" s="3" t="n"/>
      <c r="K47" s="9" t="n"/>
      <c r="L47" s="10" t="n"/>
      <c r="M47" s="10" t="n"/>
      <c r="N47" s="3" t="n"/>
      <c r="O47" s="10" t="n"/>
      <c r="P47" s="10" t="n"/>
      <c r="Q47" s="10" t="n"/>
      <c r="R47" s="6">
        <f>IF(COUNT(O47:Q47)=3,O47-P47-Q47,"")</f>
        <v/>
      </c>
      <c r="S47" s="3" t="n"/>
      <c r="T47" s="3" t="n"/>
      <c r="U47" s="10" t="n"/>
      <c r="V47" s="3" t="n"/>
      <c r="W47" s="7">
        <f>IF(AND(A47&lt;&gt;"",B47&lt;&gt;"",C47&lt;&gt;"",ISNUMBER(G47),ISNUMBER(K47),K47&lt;=G47,K47&gt;0,T47="낙찰",ISNUMBER(L47),L47&gt;0,ISNUMBER(U47),U47&gt;0,COUNTIFS(A$2:A$51,A47,B$2:B$51,B47,C$2:C$51,C47,G$2:G$51,G47)=1),"평가 가능","")</f>
        <v/>
      </c>
      <c r="X47" s="8">
        <f>IF(W47="평가 가능",(L47-U47)/U47,"")</f>
        <v/>
      </c>
      <c r="Y47" s="8">
        <f>IF(W47="평가 가능",ABS(X47),"")</f>
        <v/>
      </c>
      <c r="Z47" s="7">
        <f>IF(AND(ISNUMBER(M47),M47&gt;0,ISNUMBER(I47)),IF(M47&lt;I47,"최저가 미달",IF(M47=I47,"최저가 동액","최저가 초과")),"")</f>
        <v/>
      </c>
      <c r="AA47" s="7">
        <f>IF(AND(T47="낙찰",ISNUMBER(M47),M47&gt;0,ISNUMBER(U47)),IF(M47&lt;U47,"실제 낙찰가 미만",IF(M47=U47,"실제 낙찰가 동액","실제 낙찰가 초과")),"")</f>
        <v/>
      </c>
      <c r="AB47" s="7">
        <f>IF(AND(ISNUMBER(M47),M47&gt;0,ISNUMBER(R47)),IF(M47&lt;R47,"상한가 미만",IF(M47=R47,"상한가 동액","상한가 초과")),"")</f>
        <v/>
      </c>
      <c r="AC47" s="3" t="n"/>
      <c r="AD47" s="7">
        <f>IF(COUNTA(A47:Q47,S47:V47,AC47)=0,"",IF(OR(A47="",B47="",C47="",NOT(ISNUMBER(G47))),"식별값 확인",IF(COUNTIFS(A$2:A$51,A47,B$2:B$51,B47,C$2:C$51,C47,G$2:G$51,G47)&gt;1,"중복 회차",IF(AND(ISNUMBER(K47),K47&gt;G47),"기일 후 예측",IF(AND(T47="낙찰",W47=""),"평가 입력 확인","")))))</f>
        <v/>
      </c>
    </row>
    <row r="48">
      <c r="A48" s="2" t="n"/>
      <c r="B48" s="2" t="n"/>
      <c r="C48" s="2" t="n"/>
      <c r="D48" s="2" t="n"/>
      <c r="E48" s="2" t="n"/>
      <c r="F48" s="2" t="n"/>
      <c r="G48" s="4" t="n"/>
      <c r="H48" s="5" t="n"/>
      <c r="I48" s="5" t="n"/>
      <c r="J48" s="2" t="n"/>
      <c r="K48" s="4" t="n"/>
      <c r="L48" s="5" t="n"/>
      <c r="M48" s="5" t="n"/>
      <c r="N48" s="2" t="n"/>
      <c r="O48" s="5" t="n"/>
      <c r="P48" s="5" t="n"/>
      <c r="Q48" s="5" t="n"/>
      <c r="R48" s="6">
        <f>IF(COUNT(O48:Q48)=3,O48-P48-Q48,"")</f>
        <v/>
      </c>
      <c r="S48" s="2" t="n"/>
      <c r="T48" s="2" t="n"/>
      <c r="U48" s="5" t="n"/>
      <c r="V48" s="2" t="n"/>
      <c r="W48" s="7">
        <f>IF(AND(A48&lt;&gt;"",B48&lt;&gt;"",C48&lt;&gt;"",ISNUMBER(G48),ISNUMBER(K48),K48&lt;=G48,K48&gt;0,T48="낙찰",ISNUMBER(L48),L48&gt;0,ISNUMBER(U48),U48&gt;0,COUNTIFS(A$2:A$51,A48,B$2:B$51,B48,C$2:C$51,C48,G$2:G$51,G48)=1),"평가 가능","")</f>
        <v/>
      </c>
      <c r="X48" s="8">
        <f>IF(W48="평가 가능",(L48-U48)/U48,"")</f>
        <v/>
      </c>
      <c r="Y48" s="8">
        <f>IF(W48="평가 가능",ABS(X48),"")</f>
        <v/>
      </c>
      <c r="Z48" s="7">
        <f>IF(AND(ISNUMBER(M48),M48&gt;0,ISNUMBER(I48)),IF(M48&lt;I48,"최저가 미달",IF(M48=I48,"최저가 동액","최저가 초과")),"")</f>
        <v/>
      </c>
      <c r="AA48" s="7">
        <f>IF(AND(T48="낙찰",ISNUMBER(M48),M48&gt;0,ISNUMBER(U48)),IF(M48&lt;U48,"실제 낙찰가 미만",IF(M48=U48,"실제 낙찰가 동액","실제 낙찰가 초과")),"")</f>
        <v/>
      </c>
      <c r="AB48" s="7">
        <f>IF(AND(ISNUMBER(M48),M48&gt;0,ISNUMBER(R48)),IF(M48&lt;R48,"상한가 미만",IF(M48=R48,"상한가 동액","상한가 초과")),"")</f>
        <v/>
      </c>
      <c r="AC48" s="2" t="n"/>
      <c r="AD48" s="7">
        <f>IF(COUNTA(A48:Q48,S48:V48,AC48)=0,"",IF(OR(A48="",B48="",C48="",NOT(ISNUMBER(G48))),"식별값 확인",IF(COUNTIFS(A$2:A$51,A48,B$2:B$51,B48,C$2:C$51,C48,G$2:G$51,G48)&gt;1,"중복 회차",IF(AND(ISNUMBER(K48),K48&gt;G48),"기일 후 예측",IF(AND(T48="낙찰",W48=""),"평가 입력 확인","")))))</f>
        <v/>
      </c>
    </row>
    <row r="49">
      <c r="A49" s="3" t="n"/>
      <c r="B49" s="3" t="n"/>
      <c r="C49" s="3" t="n"/>
      <c r="D49" s="3" t="n"/>
      <c r="E49" s="3" t="n"/>
      <c r="F49" s="3" t="n"/>
      <c r="G49" s="9" t="n"/>
      <c r="H49" s="10" t="n"/>
      <c r="I49" s="10" t="n"/>
      <c r="J49" s="3" t="n"/>
      <c r="K49" s="9" t="n"/>
      <c r="L49" s="10" t="n"/>
      <c r="M49" s="10" t="n"/>
      <c r="N49" s="3" t="n"/>
      <c r="O49" s="10" t="n"/>
      <c r="P49" s="10" t="n"/>
      <c r="Q49" s="10" t="n"/>
      <c r="R49" s="6">
        <f>IF(COUNT(O49:Q49)=3,O49-P49-Q49,"")</f>
        <v/>
      </c>
      <c r="S49" s="3" t="n"/>
      <c r="T49" s="3" t="n"/>
      <c r="U49" s="10" t="n"/>
      <c r="V49" s="3" t="n"/>
      <c r="W49" s="7">
        <f>IF(AND(A49&lt;&gt;"",B49&lt;&gt;"",C49&lt;&gt;"",ISNUMBER(G49),ISNUMBER(K49),K49&lt;=G49,K49&gt;0,T49="낙찰",ISNUMBER(L49),L49&gt;0,ISNUMBER(U49),U49&gt;0,COUNTIFS(A$2:A$51,A49,B$2:B$51,B49,C$2:C$51,C49,G$2:G$51,G49)=1),"평가 가능","")</f>
        <v/>
      </c>
      <c r="X49" s="8">
        <f>IF(W49="평가 가능",(L49-U49)/U49,"")</f>
        <v/>
      </c>
      <c r="Y49" s="8">
        <f>IF(W49="평가 가능",ABS(X49),"")</f>
        <v/>
      </c>
      <c r="Z49" s="7">
        <f>IF(AND(ISNUMBER(M49),M49&gt;0,ISNUMBER(I49)),IF(M49&lt;I49,"최저가 미달",IF(M49=I49,"최저가 동액","최저가 초과")),"")</f>
        <v/>
      </c>
      <c r="AA49" s="7">
        <f>IF(AND(T49="낙찰",ISNUMBER(M49),M49&gt;0,ISNUMBER(U49)),IF(M49&lt;U49,"실제 낙찰가 미만",IF(M49=U49,"실제 낙찰가 동액","실제 낙찰가 초과")),"")</f>
        <v/>
      </c>
      <c r="AB49" s="7">
        <f>IF(AND(ISNUMBER(M49),M49&gt;0,ISNUMBER(R49)),IF(M49&lt;R49,"상한가 미만",IF(M49=R49,"상한가 동액","상한가 초과")),"")</f>
        <v/>
      </c>
      <c r="AC49" s="3" t="n"/>
      <c r="AD49" s="7">
        <f>IF(COUNTA(A49:Q49,S49:V49,AC49)=0,"",IF(OR(A49="",B49="",C49="",NOT(ISNUMBER(G49))),"식별값 확인",IF(COUNTIFS(A$2:A$51,A49,B$2:B$51,B49,C$2:C$51,C49,G$2:G$51,G49)&gt;1,"중복 회차",IF(AND(ISNUMBER(K49),K49&gt;G49),"기일 후 예측",IF(AND(T49="낙찰",W49=""),"평가 입력 확인","")))))</f>
        <v/>
      </c>
    </row>
    <row r="50">
      <c r="A50" s="2" t="n"/>
      <c r="B50" s="2" t="n"/>
      <c r="C50" s="2" t="n"/>
      <c r="D50" s="2" t="n"/>
      <c r="E50" s="2" t="n"/>
      <c r="F50" s="2" t="n"/>
      <c r="G50" s="4" t="n"/>
      <c r="H50" s="5" t="n"/>
      <c r="I50" s="5" t="n"/>
      <c r="J50" s="2" t="n"/>
      <c r="K50" s="4" t="n"/>
      <c r="L50" s="5" t="n"/>
      <c r="M50" s="5" t="n"/>
      <c r="N50" s="2" t="n"/>
      <c r="O50" s="5" t="n"/>
      <c r="P50" s="5" t="n"/>
      <c r="Q50" s="5" t="n"/>
      <c r="R50" s="6">
        <f>IF(COUNT(O50:Q50)=3,O50-P50-Q50,"")</f>
        <v/>
      </c>
      <c r="S50" s="2" t="n"/>
      <c r="T50" s="2" t="n"/>
      <c r="U50" s="5" t="n"/>
      <c r="V50" s="2" t="n"/>
      <c r="W50" s="7">
        <f>IF(AND(A50&lt;&gt;"",B50&lt;&gt;"",C50&lt;&gt;"",ISNUMBER(G50),ISNUMBER(K50),K50&lt;=G50,K50&gt;0,T50="낙찰",ISNUMBER(L50),L50&gt;0,ISNUMBER(U50),U50&gt;0,COUNTIFS(A$2:A$51,A50,B$2:B$51,B50,C$2:C$51,C50,G$2:G$51,G50)=1),"평가 가능","")</f>
        <v/>
      </c>
      <c r="X50" s="8">
        <f>IF(W50="평가 가능",(L50-U50)/U50,"")</f>
        <v/>
      </c>
      <c r="Y50" s="8">
        <f>IF(W50="평가 가능",ABS(X50),"")</f>
        <v/>
      </c>
      <c r="Z50" s="7">
        <f>IF(AND(ISNUMBER(M50),M50&gt;0,ISNUMBER(I50)),IF(M50&lt;I50,"최저가 미달",IF(M50=I50,"최저가 동액","최저가 초과")),"")</f>
        <v/>
      </c>
      <c r="AA50" s="7">
        <f>IF(AND(T50="낙찰",ISNUMBER(M50),M50&gt;0,ISNUMBER(U50)),IF(M50&lt;U50,"실제 낙찰가 미만",IF(M50=U50,"실제 낙찰가 동액","실제 낙찰가 초과")),"")</f>
        <v/>
      </c>
      <c r="AB50" s="7">
        <f>IF(AND(ISNUMBER(M50),M50&gt;0,ISNUMBER(R50)),IF(M50&lt;R50,"상한가 미만",IF(M50=R50,"상한가 동액","상한가 초과")),"")</f>
        <v/>
      </c>
      <c r="AC50" s="2" t="n"/>
      <c r="AD50" s="7">
        <f>IF(COUNTA(A50:Q50,S50:V50,AC50)=0,"",IF(OR(A50="",B50="",C50="",NOT(ISNUMBER(G50))),"식별값 확인",IF(COUNTIFS(A$2:A$51,A50,B$2:B$51,B50,C$2:C$51,C50,G$2:G$51,G50)&gt;1,"중복 회차",IF(AND(ISNUMBER(K50),K50&gt;G50),"기일 후 예측",IF(AND(T50="낙찰",W50=""),"평가 입력 확인","")))))</f>
        <v/>
      </c>
    </row>
    <row r="51">
      <c r="A51" s="3" t="n"/>
      <c r="B51" s="3" t="n"/>
      <c r="C51" s="3" t="n"/>
      <c r="D51" s="3" t="n"/>
      <c r="E51" s="3" t="n"/>
      <c r="F51" s="3" t="n"/>
      <c r="G51" s="9" t="n"/>
      <c r="H51" s="10" t="n"/>
      <c r="I51" s="10" t="n"/>
      <c r="J51" s="3" t="n"/>
      <c r="K51" s="9" t="n"/>
      <c r="L51" s="10" t="n"/>
      <c r="M51" s="10" t="n"/>
      <c r="N51" s="3" t="n"/>
      <c r="O51" s="10" t="n"/>
      <c r="P51" s="10" t="n"/>
      <c r="Q51" s="10" t="n"/>
      <c r="R51" s="6">
        <f>IF(COUNT(O51:Q51)=3,O51-P51-Q51,"")</f>
        <v/>
      </c>
      <c r="S51" s="3" t="n"/>
      <c r="T51" s="3" t="n"/>
      <c r="U51" s="10" t="n"/>
      <c r="V51" s="3" t="n"/>
      <c r="W51" s="7">
        <f>IF(AND(A51&lt;&gt;"",B51&lt;&gt;"",C51&lt;&gt;"",ISNUMBER(G51),ISNUMBER(K51),K51&lt;=G51,K51&gt;0,T51="낙찰",ISNUMBER(L51),L51&gt;0,ISNUMBER(U51),U51&gt;0,COUNTIFS(A$2:A$51,A51,B$2:B$51,B51,C$2:C$51,C51,G$2:G$51,G51)=1),"평가 가능","")</f>
        <v/>
      </c>
      <c r="X51" s="8">
        <f>IF(W51="평가 가능",(L51-U51)/U51,"")</f>
        <v/>
      </c>
      <c r="Y51" s="8">
        <f>IF(W51="평가 가능",ABS(X51),"")</f>
        <v/>
      </c>
      <c r="Z51" s="7">
        <f>IF(AND(ISNUMBER(M51),M51&gt;0,ISNUMBER(I51)),IF(M51&lt;I51,"최저가 미달",IF(M51=I51,"최저가 동액","최저가 초과")),"")</f>
        <v/>
      </c>
      <c r="AA51" s="7">
        <f>IF(AND(T51="낙찰",ISNUMBER(M51),M51&gt;0,ISNUMBER(U51)),IF(M51&lt;U51,"실제 낙찰가 미만",IF(M51=U51,"실제 낙찰가 동액","실제 낙찰가 초과")),"")</f>
        <v/>
      </c>
      <c r="AB51" s="7">
        <f>IF(AND(ISNUMBER(M51),M51&gt;0,ISNUMBER(R51)),IF(M51&lt;R51,"상한가 미만",IF(M51=R51,"상한가 동액","상한가 초과")),"")</f>
        <v/>
      </c>
      <c r="AC51" s="3" t="n"/>
      <c r="AD51" s="7">
        <f>IF(COUNTA(A51:Q51,S51:V51,AC51)=0,"",IF(OR(A51="",B51="",C51="",NOT(ISNUMBER(G51))),"식별값 확인",IF(COUNTIFS(A$2:A$51,A51,B$2:B$51,B51,C$2:C$51,C51,G$2:G$51,G51)&gt;1,"중복 회차",IF(AND(ISNUMBER(K51),K51&gt;G51),"기일 후 예측",IF(AND(T51="낙찰",W51=""),"평가 입력 확인","")))))</f>
        <v/>
      </c>
    </row>
  </sheetData>
  <autoFilter ref="A1:AD51"/>
  <dataValidations count="2">
    <dataValidation sqref="E2:E51" showDropDown="0" showInputMessage="0" showErrorMessage="1" allowBlank="1" errorTitle="목록에서 선택" error="허용된 값을 선택하세요." type="list">
      <formula1>"아파트,다세대,단독주택,오피스텔,상가,토지,기타"</formula1>
    </dataValidation>
    <dataValidation sqref="T2:T51" showDropDown="0" showInputMessage="0" showErrorMessage="1" allowBlank="1" errorTitle="목록에서 선택" error="허용된 값을 선택하세요." type="list">
      <formula1>"미확인,낙찰,유찰,변경,연기,취하,기각"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2" customHeight="1">
      <c r="A1" s="1" t="inlineStr">
        <is>
          <t>지표</t>
        </is>
      </c>
      <c r="B1" s="1" t="inlineStr">
        <is>
          <t>값</t>
        </is>
      </c>
    </row>
    <row r="2">
      <c r="A2" s="2" t="inlineStr">
        <is>
          <t>평가 가능한 건수</t>
        </is>
      </c>
      <c r="B2" s="7">
        <f>COUNT('물건 기록'!Y2:Y51)</f>
        <v/>
      </c>
    </row>
    <row r="3">
      <c r="A3" s="3" t="inlineStr">
        <is>
          <t>평균 절대 오차율</t>
        </is>
      </c>
      <c r="B3" s="8">
        <f>IF(B2=0,"",AVERAGE('물건 기록'!Y2:Y51))</f>
        <v/>
      </c>
    </row>
    <row r="4">
      <c r="A4" s="2" t="inlineStr">
        <is>
          <t>평균 예측 오차율</t>
        </is>
      </c>
      <c r="B4" s="8">
        <f>IF(B2=0,"",AVERAGE('물건 기록'!X2:X51))</f>
        <v/>
      </c>
    </row>
    <row r="5">
      <c r="A5" s="3" t="inlineStr">
        <is>
          <t>오차 5% 이내 건수</t>
        </is>
      </c>
      <c r="B5" s="7">
        <f>COUNTIF('물건 기록'!Y2:Y51,"&lt;=0.05")</f>
        <v/>
      </c>
    </row>
    <row r="6">
      <c r="A6" s="2" t="inlineStr">
        <is>
          <t>오차 5% 이내 비율</t>
        </is>
      </c>
      <c r="B6" s="8">
        <f>IF(B2=0,"",B5/B2)</f>
        <v/>
      </c>
    </row>
    <row r="7">
      <c r="A7" s="3" t="inlineStr">
        <is>
          <t>해석</t>
        </is>
      </c>
      <c r="B7" s="3" t="inlineStr">
        <is>
          <t>평균 절대 오차율은 정확도, 평균 예측 오차율은 과대·과소 편향입니다.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법원</t>
        </is>
      </c>
      <c r="B1" s="1" t="inlineStr">
        <is>
          <t>사건번호</t>
        </is>
      </c>
      <c r="C1" s="1" t="inlineStr">
        <is>
          <t>물건번호</t>
        </is>
      </c>
      <c r="D1" s="1" t="inlineStr">
        <is>
          <t>매각기일</t>
        </is>
      </c>
      <c r="E1" s="1" t="inlineStr">
        <is>
          <t>변경 시각</t>
        </is>
      </c>
      <c r="F1" s="1" t="inlineStr">
        <is>
          <t>변경 항목</t>
        </is>
      </c>
      <c r="G1" s="1" t="inlineStr">
        <is>
          <t>수정 전 값</t>
        </is>
      </c>
      <c r="H1" s="1" t="inlineStr">
        <is>
          <t>수정 후 값</t>
        </is>
      </c>
      <c r="I1" s="1" t="inlineStr">
        <is>
          <t>변경 사유</t>
        </is>
      </c>
      <c r="J1" s="1" t="inlineStr">
        <is>
          <t>결과 확인 전 여부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2026-10-21T14:57:01Z</dcterms:created>
  <dcterms:modified xsi:type="dcterms:W3CDTF">2026-10-21T14:57:01Z</dcterms:modified>
</cp:coreProperties>
</file>