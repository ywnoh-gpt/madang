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 안내" sheetId="1" state="visible" r:id="rId1"/>
    <sheet name="물건 기록" sheetId="2" state="visible" r:id="rId2"/>
    <sheet name="성과 요약" sheetId="3" state="visible" r:id="rId3"/>
    <sheet name="예측 변경 이력" sheetId="4" state="visible" r:id="rId4"/>
  </sheets>
  <definedNames>
    <definedName name="_xlnm._FilterDatabase" localSheetId="1" hidden="1">'물건 기록'!$A$1:$AD$301</definedName>
    <definedName name="_xlnm._FilterDatabase" localSheetId="3" hidden="1">'예측 변경 이력'!$A$1:$J$301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[Red]-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맑은 고딕"/>
      <color rgb="00175A9B"/>
      <sz val="10"/>
    </font>
    <font>
      <name val="맑은 고딕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7FC"/>
      </patternFill>
    </fill>
    <fill>
      <patternFill patternType="solid">
        <fgColor rgb="00FFFFFF"/>
      </patternFill>
    </fill>
    <fill>
      <patternFill patternType="solid">
        <fgColor rgb="00EEF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165" fontId="3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10" fontId="3" fillId="5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165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모의 입찰 기록장</t>
        </is>
      </c>
      <c r="B1" s="1" t="inlineStr">
        <is>
          <t>madang · 원본 예측으로 시장 판단을 복기합니다</t>
        </is>
      </c>
    </row>
    <row r="2" ht="48" customHeight="1">
      <c r="A2" s="2" t="inlineStr">
        <is>
          <t>시작하기</t>
        </is>
      </c>
      <c r="B2" s="2" t="inlineStr">
        <is>
          <t>파란 칸에 입력하고 회색 수식 칸은 유지하세요. 금액은 원, 면적은 ㎡, 날짜는 날짜 형식입니다. 300회차까지 준비되어 있습니다.</t>
        </is>
      </c>
    </row>
    <row r="3" ht="48" customHeight="1">
      <c r="A3" s="3" t="inlineStr">
        <is>
          <t>한 행의 기준</t>
        </is>
      </c>
      <c r="B3" s="3" t="inlineStr">
        <is>
          <t>법원·사건번호·물건번호·매각기일당 한 행입니다. 유찰 후 다음 기일은 새 행에 기록하세요. 사건번호는 연도를 포함하세요.</t>
        </is>
      </c>
    </row>
    <row r="4" ht="48" customHeight="1">
      <c r="A4" s="2" t="inlineStr">
        <is>
          <t>세 가지 금액</t>
        </is>
      </c>
      <c r="B4" s="2" t="inlineStr">
        <is>
          <t>예상 낙찰가=시장 낙찰가 예측 / 가상 입찰가=내 모의 입찰액 / 내 입찰 상한가=비용·목표 이익을 고려한 최대 지불액</t>
        </is>
      </c>
    </row>
    <row r="5" ht="48" customHeight="1">
      <c r="A5" s="3" t="inlineStr">
        <is>
          <t>상한가</t>
        </is>
      </c>
      <c r="B5" s="3" t="inlineStr">
        <is>
          <t>예상 시세 − 추가 비용 합계 − 목표 이익. 비용이나 목표 이익이 없으면 0을 명시하세요. 세 값이 모두 있어야 계산합니다.</t>
        </is>
      </c>
    </row>
    <row r="6" ht="48" customHeight="1">
      <c r="A6" s="2" t="inlineStr">
        <is>
          <t>결과 전 기록</t>
        </is>
      </c>
      <c r="B6" s="2" t="inlineStr">
        <is>
          <t>결과를 알기 전에 예상 작성일·예상 낙찰가·가상 입찰가·판단 근거를 기록하세요. 매각기일보다 늦은 예측은 평가에서 제외합니다. 같은 날은 결과 확인 전인지 직접 확인하세요.</t>
        </is>
      </c>
    </row>
    <row r="7" ht="48" customHeight="1">
      <c r="A7" s="3" t="inlineStr">
        <is>
          <t>수정 전 값 보존</t>
        </is>
      </c>
      <c r="B7" s="3" t="inlineStr">
        <is>
          <t>물건 기록의 원본 예측은 덮어쓰지 마세요. 수정은 예측 변경 이력에 이전값·변경값·변경 시각·사유를 추가하세요. 요약은 물건 기록의 원본 예측만 평가합니다. 파일 버전 기록도 함께 사용하세요. 자동 잠금·감사 기능은 없습니다.</t>
        </is>
      </c>
    </row>
    <row r="8" ht="48" customHeight="1">
      <c r="A8" s="2" t="inlineStr">
        <is>
          <t>결과 입력</t>
        </is>
      </c>
      <c r="B8" s="2" t="inlineStr">
        <is>
          <t>매각 결과를 선택하고 낙찰이면 실제 낙찰가와 입찰자 수를 기록하세요. 유찰·변경·연기·취하·미확인은 예측 평가에서 제외합니다.</t>
        </is>
      </c>
    </row>
    <row r="9" ht="48" customHeight="1">
      <c r="A9" s="3" t="inlineStr">
        <is>
          <t>평가 대상</t>
        </is>
      </c>
      <c r="B9" s="3" t="inlineStr">
        <is>
          <t>낙찰, 양수인 예상·실제 낙찰가, 예상 작성일≤매각기일, 식별값 완비, 중복 없음인 행만 집계합니다. 원본 예측의 사전 기록 여부는 사용자가 확인합니다.</t>
        </is>
      </c>
    </row>
    <row r="10" ht="48" customHeight="1">
      <c r="A10" s="2" t="inlineStr">
        <is>
          <t>정확도</t>
        </is>
      </c>
      <c r="B10" s="2" t="inlineStr">
        <is>
          <t>예측 오차율=(예상−실제)/실제. 양수는 과대예측, 음수는 과소예측입니다. 평균 절대 오차율이 낮을수록 정확합니다. ±5% 경계를 포함합니다.</t>
        </is>
      </c>
    </row>
    <row r="11" ht="48" customHeight="1">
      <c r="A11" s="3" t="inlineStr">
        <is>
          <t>모의 입찰 비교</t>
        </is>
      </c>
      <c r="B11" s="3" t="inlineStr">
        <is>
          <t>가상 입찰가를 최저가·실제 낙찰가·상한가와 각각 비교합니다. 실제 낙찰가와 동액은 별도 표시합니다. 초과라도 실제 낙찰을 보장하지 않으며 동액은 추첨 등 별도 판단이 필요합니다.</t>
        </is>
      </c>
    </row>
    <row r="12" ht="48" customHeight="1">
      <c r="A12" s="2" t="inlineStr">
        <is>
          <t>수익성 분리</t>
        </is>
      </c>
      <c r="B12" s="2" t="inlineStr">
        <is>
          <t>실제 낙찰가 초과 여부와 상한가 이내 여부를 별개로 확인하세요. 낙찰 가능성과 투자 수익성은 다른 판단입니다.</t>
        </is>
      </c>
    </row>
    <row r="13" ht="48" customHeight="1">
      <c r="A13" s="3" t="inlineStr">
        <is>
          <t>비용과 메모</t>
        </is>
      </c>
      <c r="B13" s="3" t="inlineStr">
        <is>
          <t>추가 비용은 취득세·등기·명도·수리·체납·금융·매도 비용 등을 상세 메모에서 산정하여 합계만 입력하세요. 메모 템플릿은 docs/property-note.md입니다.</t>
        </is>
      </c>
    </row>
    <row r="14" ht="48" customHeight="1">
      <c r="A14" s="2" t="inlineStr">
        <is>
          <t>사용 환경</t>
        </is>
      </c>
      <c r="B14" s="2" t="inlineStr">
        <is>
          <t>Excel에서 열거나 Google Drive에 업로드 후 Google 스프레드시트로 열어 사용하세요. 변환 후 수식·날짜·드롭다운을 확인하세요. 브라우저/Excel 실제 화면 검증은 별도로 필요합니다.</t>
        </is>
      </c>
    </row>
    <row r="15" ht="48" customHeight="1">
      <c r="A15" s="3" t="inlineStr">
        <is>
          <t>20~30건 후</t>
        </is>
      </c>
      <c r="B15" s="3" t="inlineStr">
        <is>
          <t>오차가 큰 원인과 자주 쓰는 메모를 검토한 뒤 전용 도구 필요성을 결정하세요. 실제 물건 데이터나 예시 거래는 포함하지 않았습니다.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38" customWidth="1" min="14" max="14"/>
    <col width="20" customWidth="1" min="15" max="15"/>
    <col width="20" customWidth="1" min="16" max="16"/>
    <col width="20" customWidth="1" min="17" max="17"/>
    <col width="20" customWidth="1" min="18" max="18"/>
    <col width="38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38" customWidth="1" min="29" max="29"/>
    <col width="38" customWidth="1" min="30" max="30"/>
  </cols>
  <sheetData>
    <row r="1" ht="32" customHeight="1">
      <c r="A1" s="1" t="inlineStr">
        <is>
          <t>법원</t>
        </is>
      </c>
      <c r="B1" s="1" t="inlineStr">
        <is>
          <t>사건번호</t>
        </is>
      </c>
      <c r="C1" s="1" t="inlineStr">
        <is>
          <t>물건번호</t>
        </is>
      </c>
      <c r="D1" s="1" t="inlineStr">
        <is>
          <t>주소</t>
        </is>
      </c>
      <c r="E1" s="1" t="inlineStr">
        <is>
          <t>유형</t>
        </is>
      </c>
      <c r="F1" s="1" t="inlineStr">
        <is>
          <t>면적(㎡)</t>
        </is>
      </c>
      <c r="G1" s="1" t="inlineStr">
        <is>
          <t>매각기일</t>
        </is>
      </c>
      <c r="H1" s="1" t="inlineStr">
        <is>
          <t>감정가</t>
        </is>
      </c>
      <c r="I1" s="1" t="inlineStr">
        <is>
          <t>최저가</t>
        </is>
      </c>
      <c r="J1" s="1" t="inlineStr">
        <is>
          <t>유찰 횟수</t>
        </is>
      </c>
      <c r="K1" s="1" t="inlineStr">
        <is>
          <t>예상 작성일</t>
        </is>
      </c>
      <c r="L1" s="1" t="inlineStr">
        <is>
          <t>예상 낙찰가</t>
        </is>
      </c>
      <c r="M1" s="1" t="inlineStr">
        <is>
          <t>가상 입찰가</t>
        </is>
      </c>
      <c r="N1" s="1" t="inlineStr">
        <is>
          <t>판단 근거·특징</t>
        </is>
      </c>
      <c r="O1" s="1" t="inlineStr">
        <is>
          <t>예상 시세</t>
        </is>
      </c>
      <c r="P1" s="1" t="inlineStr">
        <is>
          <t>추가 비용 합계</t>
        </is>
      </c>
      <c r="Q1" s="1" t="inlineStr">
        <is>
          <t>목표 이익</t>
        </is>
      </c>
      <c r="R1" s="1" t="inlineStr">
        <is>
          <t>내 입찰 상한가</t>
        </is>
      </c>
      <c r="S1" s="1" t="inlineStr">
        <is>
          <t>상세 메모 링크</t>
        </is>
      </c>
      <c r="T1" s="1" t="inlineStr">
        <is>
          <t>매각 결과</t>
        </is>
      </c>
      <c r="U1" s="1" t="inlineStr">
        <is>
          <t>실제 낙찰가</t>
        </is>
      </c>
      <c r="V1" s="1" t="inlineStr">
        <is>
          <t>입찰자 수</t>
        </is>
      </c>
      <c r="W1" s="1" t="inlineStr">
        <is>
          <t>평가 가능</t>
        </is>
      </c>
      <c r="X1" s="1" t="inlineStr">
        <is>
          <t>예측 오차율</t>
        </is>
      </c>
      <c r="Y1" s="1" t="inlineStr">
        <is>
          <t>절대 오차율</t>
        </is>
      </c>
      <c r="Z1" s="1" t="inlineStr">
        <is>
          <t>최저가 비교</t>
        </is>
      </c>
      <c r="AA1" s="1" t="inlineStr">
        <is>
          <t>실제 낙찰가 비교</t>
        </is>
      </c>
      <c r="AB1" s="1" t="inlineStr">
        <is>
          <t>상한가 비교</t>
        </is>
      </c>
      <c r="AC1" s="1" t="inlineStr">
        <is>
          <t>복기 메모</t>
        </is>
      </c>
      <c r="AD1" s="1" t="inlineStr">
        <is>
          <t>기록 점검</t>
        </is>
      </c>
    </row>
    <row r="2">
      <c r="A2" s="2" t="n"/>
      <c r="B2" s="2" t="n"/>
      <c r="C2" s="2" t="n"/>
      <c r="D2" s="2" t="n"/>
      <c r="E2" s="2" t="n"/>
      <c r="F2" s="2" t="n"/>
      <c r="G2" s="4" t="n"/>
      <c r="H2" s="5" t="n"/>
      <c r="I2" s="5" t="n"/>
      <c r="J2" s="2" t="n"/>
      <c r="K2" s="4" t="n"/>
      <c r="L2" s="5" t="n"/>
      <c r="M2" s="5" t="n"/>
      <c r="N2" s="2" t="n"/>
      <c r="O2" s="5" t="n"/>
      <c r="P2" s="5" t="n"/>
      <c r="Q2" s="5" t="n"/>
      <c r="R2" s="6">
        <f>IF(COUNT(O2:Q2)=3,O2-P2-Q2,"")</f>
        <v/>
      </c>
      <c r="S2" s="2" t="n"/>
      <c r="T2" s="2" t="n"/>
      <c r="U2" s="5" t="n"/>
      <c r="V2" s="2" t="n"/>
      <c r="W2" s="7">
        <f>IF(AND(A2&lt;&gt;"",B2&lt;&gt;"",C2&lt;&gt;"",ISNUMBER(G2),ISNUMBER(K2),K2&lt;=G2,K2&gt;0,T2="낙찰",ISNUMBER(L2),L2&gt;0,ISNUMBER(U2),U2&gt;0,COUNTIFS(A$2:A$301,A2,B$2:B$301,B2,C$2:C$301,C2,G$2:G$301,G2)=1),"평가 가능","")</f>
        <v/>
      </c>
      <c r="X2" s="8">
        <f>IF(W2="평가 가능",(L2-U2)/U2,"")</f>
        <v/>
      </c>
      <c r="Y2" s="8">
        <f>IF(W2="평가 가능",ABS(X2),"")</f>
        <v/>
      </c>
      <c r="Z2" s="7">
        <f>IF(AND(ISNUMBER(M2),M2&gt;0,ISNUMBER(I2)),IF(M2&lt;I2,"최저가 미달",IF(M2=I2,"최저가 동액","최저가 초과")),"")</f>
        <v/>
      </c>
      <c r="AA2" s="7">
        <f>IF(AND(T2="낙찰",ISNUMBER(M2),M2&gt;0,ISNUMBER(U2)),IF(M2&lt;U2,"실제 낙찰가 미만",IF(M2=U2,"실제 낙찰가 동액","실제 낙찰가 초과")),"")</f>
        <v/>
      </c>
      <c r="AB2" s="7">
        <f>IF(AND(ISNUMBER(M2),M2&gt;0,ISNUMBER(R2)),IF(M2&lt;R2,"상한가 미만",IF(M2=R2,"상한가 동액","상한가 초과")),"")</f>
        <v/>
      </c>
      <c r="AC2" s="2" t="n"/>
      <c r="AD2" s="7">
        <f>IF(COUNTA(A2:Q2,S2:V2,AC2)=0,"",IF(OR(A2="",B2="",C2="",NOT(ISNUMBER(G2))),"식별값 확인",IF(COUNTIFS(A$2:A$301,A2,B$2:B$301,B2,C$2:C$301,C2,G$2:G$301,G2)&gt;1,"중복 회차",IF(AND(ISNUMBER(K2),K2&gt;G2),"기일 후 예측",IF(AND(T2="낙찰",W2=""),"평가 입력 확인","")))))</f>
        <v/>
      </c>
    </row>
    <row r="3">
      <c r="A3" s="3" t="n"/>
      <c r="B3" s="3" t="n"/>
      <c r="C3" s="3" t="n"/>
      <c r="D3" s="3" t="n"/>
      <c r="E3" s="3" t="n"/>
      <c r="F3" s="3" t="n"/>
      <c r="G3" s="9" t="n"/>
      <c r="H3" s="10" t="n"/>
      <c r="I3" s="10" t="n"/>
      <c r="J3" s="3" t="n"/>
      <c r="K3" s="9" t="n"/>
      <c r="L3" s="10" t="n"/>
      <c r="M3" s="10" t="n"/>
      <c r="N3" s="3" t="n"/>
      <c r="O3" s="10" t="n"/>
      <c r="P3" s="10" t="n"/>
      <c r="Q3" s="10" t="n"/>
      <c r="R3" s="6">
        <f>IF(COUNT(O3:Q3)=3,O3-P3-Q3,"")</f>
        <v/>
      </c>
      <c r="S3" s="3" t="n"/>
      <c r="T3" s="3" t="n"/>
      <c r="U3" s="10" t="n"/>
      <c r="V3" s="3" t="n"/>
      <c r="W3" s="7">
        <f>IF(AND(A3&lt;&gt;"",B3&lt;&gt;"",C3&lt;&gt;"",ISNUMBER(G3),ISNUMBER(K3),K3&lt;=G3,K3&gt;0,T3="낙찰",ISNUMBER(L3),L3&gt;0,ISNUMBER(U3),U3&gt;0,COUNTIFS(A$2:A$301,A3,B$2:B$301,B3,C$2:C$301,C3,G$2:G$301,G3)=1),"평가 가능","")</f>
        <v/>
      </c>
      <c r="X3" s="8">
        <f>IF(W3="평가 가능",(L3-U3)/U3,"")</f>
        <v/>
      </c>
      <c r="Y3" s="8">
        <f>IF(W3="평가 가능",ABS(X3),"")</f>
        <v/>
      </c>
      <c r="Z3" s="7">
        <f>IF(AND(ISNUMBER(M3),M3&gt;0,ISNUMBER(I3)),IF(M3&lt;I3,"최저가 미달",IF(M3=I3,"최저가 동액","최저가 초과")),"")</f>
        <v/>
      </c>
      <c r="AA3" s="7">
        <f>IF(AND(T3="낙찰",ISNUMBER(M3),M3&gt;0,ISNUMBER(U3)),IF(M3&lt;U3,"실제 낙찰가 미만",IF(M3=U3,"실제 낙찰가 동액","실제 낙찰가 초과")),"")</f>
        <v/>
      </c>
      <c r="AB3" s="7">
        <f>IF(AND(ISNUMBER(M3),M3&gt;0,ISNUMBER(R3)),IF(M3&lt;R3,"상한가 미만",IF(M3=R3,"상한가 동액","상한가 초과")),"")</f>
        <v/>
      </c>
      <c r="AC3" s="3" t="n"/>
      <c r="AD3" s="7">
        <f>IF(COUNTA(A3:Q3,S3:V3,AC3)=0,"",IF(OR(A3="",B3="",C3="",NOT(ISNUMBER(G3))),"식별값 확인",IF(COUNTIFS(A$2:A$301,A3,B$2:B$301,B3,C$2:C$301,C3,G$2:G$301,G3)&gt;1,"중복 회차",IF(AND(ISNUMBER(K3),K3&gt;G3),"기일 후 예측",IF(AND(T3="낙찰",W3=""),"평가 입력 확인","")))))</f>
        <v/>
      </c>
    </row>
    <row r="4">
      <c r="A4" s="2" t="n"/>
      <c r="B4" s="2" t="n"/>
      <c r="C4" s="2" t="n"/>
      <c r="D4" s="2" t="n"/>
      <c r="E4" s="2" t="n"/>
      <c r="F4" s="2" t="n"/>
      <c r="G4" s="4" t="n"/>
      <c r="H4" s="5" t="n"/>
      <c r="I4" s="5" t="n"/>
      <c r="J4" s="2" t="n"/>
      <c r="K4" s="4" t="n"/>
      <c r="L4" s="5" t="n"/>
      <c r="M4" s="5" t="n"/>
      <c r="N4" s="2" t="n"/>
      <c r="O4" s="5" t="n"/>
      <c r="P4" s="5" t="n"/>
      <c r="Q4" s="5" t="n"/>
      <c r="R4" s="6">
        <f>IF(COUNT(O4:Q4)=3,O4-P4-Q4,"")</f>
        <v/>
      </c>
      <c r="S4" s="2" t="n"/>
      <c r="T4" s="2" t="n"/>
      <c r="U4" s="5" t="n"/>
      <c r="V4" s="2" t="n"/>
      <c r="W4" s="7">
        <f>IF(AND(A4&lt;&gt;"",B4&lt;&gt;"",C4&lt;&gt;"",ISNUMBER(G4),ISNUMBER(K4),K4&lt;=G4,K4&gt;0,T4="낙찰",ISNUMBER(L4),L4&gt;0,ISNUMBER(U4),U4&gt;0,COUNTIFS(A$2:A$301,A4,B$2:B$301,B4,C$2:C$301,C4,G$2:G$301,G4)=1),"평가 가능","")</f>
        <v/>
      </c>
      <c r="X4" s="8">
        <f>IF(W4="평가 가능",(L4-U4)/U4,"")</f>
        <v/>
      </c>
      <c r="Y4" s="8">
        <f>IF(W4="평가 가능",ABS(X4),"")</f>
        <v/>
      </c>
      <c r="Z4" s="7">
        <f>IF(AND(ISNUMBER(M4),M4&gt;0,ISNUMBER(I4)),IF(M4&lt;I4,"최저가 미달",IF(M4=I4,"최저가 동액","최저가 초과")),"")</f>
        <v/>
      </c>
      <c r="AA4" s="7">
        <f>IF(AND(T4="낙찰",ISNUMBER(M4),M4&gt;0,ISNUMBER(U4)),IF(M4&lt;U4,"실제 낙찰가 미만",IF(M4=U4,"실제 낙찰가 동액","실제 낙찰가 초과")),"")</f>
        <v/>
      </c>
      <c r="AB4" s="7">
        <f>IF(AND(ISNUMBER(M4),M4&gt;0,ISNUMBER(R4)),IF(M4&lt;R4,"상한가 미만",IF(M4=R4,"상한가 동액","상한가 초과")),"")</f>
        <v/>
      </c>
      <c r="AC4" s="2" t="n"/>
      <c r="AD4" s="7">
        <f>IF(COUNTA(A4:Q4,S4:V4,AC4)=0,"",IF(OR(A4="",B4="",C4="",NOT(ISNUMBER(G4))),"식별값 확인",IF(COUNTIFS(A$2:A$301,A4,B$2:B$301,B4,C$2:C$301,C4,G$2:G$301,G4)&gt;1,"중복 회차",IF(AND(ISNUMBER(K4),K4&gt;G4),"기일 후 예측",IF(AND(T4="낙찰",W4=""),"평가 입력 확인","")))))</f>
        <v/>
      </c>
    </row>
    <row r="5">
      <c r="A5" s="3" t="n"/>
      <c r="B5" s="3" t="n"/>
      <c r="C5" s="3" t="n"/>
      <c r="D5" s="3" t="n"/>
      <c r="E5" s="3" t="n"/>
      <c r="F5" s="3" t="n"/>
      <c r="G5" s="9" t="n"/>
      <c r="H5" s="10" t="n"/>
      <c r="I5" s="10" t="n"/>
      <c r="J5" s="3" t="n"/>
      <c r="K5" s="9" t="n"/>
      <c r="L5" s="10" t="n"/>
      <c r="M5" s="10" t="n"/>
      <c r="N5" s="3" t="n"/>
      <c r="O5" s="10" t="n"/>
      <c r="P5" s="10" t="n"/>
      <c r="Q5" s="10" t="n"/>
      <c r="R5" s="6">
        <f>IF(COUNT(O5:Q5)=3,O5-P5-Q5,"")</f>
        <v/>
      </c>
      <c r="S5" s="3" t="n"/>
      <c r="T5" s="3" t="n"/>
      <c r="U5" s="10" t="n"/>
      <c r="V5" s="3" t="n"/>
      <c r="W5" s="7">
        <f>IF(AND(A5&lt;&gt;"",B5&lt;&gt;"",C5&lt;&gt;"",ISNUMBER(G5),ISNUMBER(K5),K5&lt;=G5,K5&gt;0,T5="낙찰",ISNUMBER(L5),L5&gt;0,ISNUMBER(U5),U5&gt;0,COUNTIFS(A$2:A$301,A5,B$2:B$301,B5,C$2:C$301,C5,G$2:G$301,G5)=1),"평가 가능","")</f>
        <v/>
      </c>
      <c r="X5" s="8">
        <f>IF(W5="평가 가능",(L5-U5)/U5,"")</f>
        <v/>
      </c>
      <c r="Y5" s="8">
        <f>IF(W5="평가 가능",ABS(X5),"")</f>
        <v/>
      </c>
      <c r="Z5" s="7">
        <f>IF(AND(ISNUMBER(M5),M5&gt;0,ISNUMBER(I5)),IF(M5&lt;I5,"최저가 미달",IF(M5=I5,"최저가 동액","최저가 초과")),"")</f>
        <v/>
      </c>
      <c r="AA5" s="7">
        <f>IF(AND(T5="낙찰",ISNUMBER(M5),M5&gt;0,ISNUMBER(U5)),IF(M5&lt;U5,"실제 낙찰가 미만",IF(M5=U5,"실제 낙찰가 동액","실제 낙찰가 초과")),"")</f>
        <v/>
      </c>
      <c r="AB5" s="7">
        <f>IF(AND(ISNUMBER(M5),M5&gt;0,ISNUMBER(R5)),IF(M5&lt;R5,"상한가 미만",IF(M5=R5,"상한가 동액","상한가 초과")),"")</f>
        <v/>
      </c>
      <c r="AC5" s="3" t="n"/>
      <c r="AD5" s="7">
        <f>IF(COUNTA(A5:Q5,S5:V5,AC5)=0,"",IF(OR(A5="",B5="",C5="",NOT(ISNUMBER(G5))),"식별값 확인",IF(COUNTIFS(A$2:A$301,A5,B$2:B$301,B5,C$2:C$301,C5,G$2:G$301,G5)&gt;1,"중복 회차",IF(AND(ISNUMBER(K5),K5&gt;G5),"기일 후 예측",IF(AND(T5="낙찰",W5=""),"평가 입력 확인","")))))</f>
        <v/>
      </c>
    </row>
    <row r="6">
      <c r="A6" s="2" t="n"/>
      <c r="B6" s="2" t="n"/>
      <c r="C6" s="2" t="n"/>
      <c r="D6" s="2" t="n"/>
      <c r="E6" s="2" t="n"/>
      <c r="F6" s="2" t="n"/>
      <c r="G6" s="4" t="n"/>
      <c r="H6" s="5" t="n"/>
      <c r="I6" s="5" t="n"/>
      <c r="J6" s="2" t="n"/>
      <c r="K6" s="4" t="n"/>
      <c r="L6" s="5" t="n"/>
      <c r="M6" s="5" t="n"/>
      <c r="N6" s="2" t="n"/>
      <c r="O6" s="5" t="n"/>
      <c r="P6" s="5" t="n"/>
      <c r="Q6" s="5" t="n"/>
      <c r="R6" s="6">
        <f>IF(COUNT(O6:Q6)=3,O6-P6-Q6,"")</f>
        <v/>
      </c>
      <c r="S6" s="2" t="n"/>
      <c r="T6" s="2" t="n"/>
      <c r="U6" s="5" t="n"/>
      <c r="V6" s="2" t="n"/>
      <c r="W6" s="7">
        <f>IF(AND(A6&lt;&gt;"",B6&lt;&gt;"",C6&lt;&gt;"",ISNUMBER(G6),ISNUMBER(K6),K6&lt;=G6,K6&gt;0,T6="낙찰",ISNUMBER(L6),L6&gt;0,ISNUMBER(U6),U6&gt;0,COUNTIFS(A$2:A$301,A6,B$2:B$301,B6,C$2:C$301,C6,G$2:G$301,G6)=1),"평가 가능","")</f>
        <v/>
      </c>
      <c r="X6" s="8">
        <f>IF(W6="평가 가능",(L6-U6)/U6,"")</f>
        <v/>
      </c>
      <c r="Y6" s="8">
        <f>IF(W6="평가 가능",ABS(X6),"")</f>
        <v/>
      </c>
      <c r="Z6" s="7">
        <f>IF(AND(ISNUMBER(M6),M6&gt;0,ISNUMBER(I6)),IF(M6&lt;I6,"최저가 미달",IF(M6=I6,"최저가 동액","최저가 초과")),"")</f>
        <v/>
      </c>
      <c r="AA6" s="7">
        <f>IF(AND(T6="낙찰",ISNUMBER(M6),M6&gt;0,ISNUMBER(U6)),IF(M6&lt;U6,"실제 낙찰가 미만",IF(M6=U6,"실제 낙찰가 동액","실제 낙찰가 초과")),"")</f>
        <v/>
      </c>
      <c r="AB6" s="7">
        <f>IF(AND(ISNUMBER(M6),M6&gt;0,ISNUMBER(R6)),IF(M6&lt;R6,"상한가 미만",IF(M6=R6,"상한가 동액","상한가 초과")),"")</f>
        <v/>
      </c>
      <c r="AC6" s="2" t="n"/>
      <c r="AD6" s="7">
        <f>IF(COUNTA(A6:Q6,S6:V6,AC6)=0,"",IF(OR(A6="",B6="",C6="",NOT(ISNUMBER(G6))),"식별값 확인",IF(COUNTIFS(A$2:A$301,A6,B$2:B$301,B6,C$2:C$301,C6,G$2:G$301,G6)&gt;1,"중복 회차",IF(AND(ISNUMBER(K6),K6&gt;G6),"기일 후 예측",IF(AND(T6="낙찰",W6=""),"평가 입력 확인","")))))</f>
        <v/>
      </c>
    </row>
    <row r="7">
      <c r="A7" s="3" t="n"/>
      <c r="B7" s="3" t="n"/>
      <c r="C7" s="3" t="n"/>
      <c r="D7" s="3" t="n"/>
      <c r="E7" s="3" t="n"/>
      <c r="F7" s="3" t="n"/>
      <c r="G7" s="9" t="n"/>
      <c r="H7" s="10" t="n"/>
      <c r="I7" s="10" t="n"/>
      <c r="J7" s="3" t="n"/>
      <c r="K7" s="9" t="n"/>
      <c r="L7" s="10" t="n"/>
      <c r="M7" s="10" t="n"/>
      <c r="N7" s="3" t="n"/>
      <c r="O7" s="10" t="n"/>
      <c r="P7" s="10" t="n"/>
      <c r="Q7" s="10" t="n"/>
      <c r="R7" s="6">
        <f>IF(COUNT(O7:Q7)=3,O7-P7-Q7,"")</f>
        <v/>
      </c>
      <c r="S7" s="3" t="n"/>
      <c r="T7" s="3" t="n"/>
      <c r="U7" s="10" t="n"/>
      <c r="V7" s="3" t="n"/>
      <c r="W7" s="7">
        <f>IF(AND(A7&lt;&gt;"",B7&lt;&gt;"",C7&lt;&gt;"",ISNUMBER(G7),ISNUMBER(K7),K7&lt;=G7,K7&gt;0,T7="낙찰",ISNUMBER(L7),L7&gt;0,ISNUMBER(U7),U7&gt;0,COUNTIFS(A$2:A$301,A7,B$2:B$301,B7,C$2:C$301,C7,G$2:G$301,G7)=1),"평가 가능","")</f>
        <v/>
      </c>
      <c r="X7" s="8">
        <f>IF(W7="평가 가능",(L7-U7)/U7,"")</f>
        <v/>
      </c>
      <c r="Y7" s="8">
        <f>IF(W7="평가 가능",ABS(X7),"")</f>
        <v/>
      </c>
      <c r="Z7" s="7">
        <f>IF(AND(ISNUMBER(M7),M7&gt;0,ISNUMBER(I7)),IF(M7&lt;I7,"최저가 미달",IF(M7=I7,"최저가 동액","최저가 초과")),"")</f>
        <v/>
      </c>
      <c r="AA7" s="7">
        <f>IF(AND(T7="낙찰",ISNUMBER(M7),M7&gt;0,ISNUMBER(U7)),IF(M7&lt;U7,"실제 낙찰가 미만",IF(M7=U7,"실제 낙찰가 동액","실제 낙찰가 초과")),"")</f>
        <v/>
      </c>
      <c r="AB7" s="7">
        <f>IF(AND(ISNUMBER(M7),M7&gt;0,ISNUMBER(R7)),IF(M7&lt;R7,"상한가 미만",IF(M7=R7,"상한가 동액","상한가 초과")),"")</f>
        <v/>
      </c>
      <c r="AC7" s="3" t="n"/>
      <c r="AD7" s="7">
        <f>IF(COUNTA(A7:Q7,S7:V7,AC7)=0,"",IF(OR(A7="",B7="",C7="",NOT(ISNUMBER(G7))),"식별값 확인",IF(COUNTIFS(A$2:A$301,A7,B$2:B$301,B7,C$2:C$301,C7,G$2:G$301,G7)&gt;1,"중복 회차",IF(AND(ISNUMBER(K7),K7&gt;G7),"기일 후 예측",IF(AND(T7="낙찰",W7=""),"평가 입력 확인","")))))</f>
        <v/>
      </c>
    </row>
    <row r="8">
      <c r="A8" s="2" t="n"/>
      <c r="B8" s="2" t="n"/>
      <c r="C8" s="2" t="n"/>
      <c r="D8" s="2" t="n"/>
      <c r="E8" s="2" t="n"/>
      <c r="F8" s="2" t="n"/>
      <c r="G8" s="4" t="n"/>
      <c r="H8" s="5" t="n"/>
      <c r="I8" s="5" t="n"/>
      <c r="J8" s="2" t="n"/>
      <c r="K8" s="4" t="n"/>
      <c r="L8" s="5" t="n"/>
      <c r="M8" s="5" t="n"/>
      <c r="N8" s="2" t="n"/>
      <c r="O8" s="5" t="n"/>
      <c r="P8" s="5" t="n"/>
      <c r="Q8" s="5" t="n"/>
      <c r="R8" s="6">
        <f>IF(COUNT(O8:Q8)=3,O8-P8-Q8,"")</f>
        <v/>
      </c>
      <c r="S8" s="2" t="n"/>
      <c r="T8" s="2" t="n"/>
      <c r="U8" s="5" t="n"/>
      <c r="V8" s="2" t="n"/>
      <c r="W8" s="7">
        <f>IF(AND(A8&lt;&gt;"",B8&lt;&gt;"",C8&lt;&gt;"",ISNUMBER(G8),ISNUMBER(K8),K8&lt;=G8,K8&gt;0,T8="낙찰",ISNUMBER(L8),L8&gt;0,ISNUMBER(U8),U8&gt;0,COUNTIFS(A$2:A$301,A8,B$2:B$301,B8,C$2:C$301,C8,G$2:G$301,G8)=1),"평가 가능","")</f>
        <v/>
      </c>
      <c r="X8" s="8">
        <f>IF(W8="평가 가능",(L8-U8)/U8,"")</f>
        <v/>
      </c>
      <c r="Y8" s="8">
        <f>IF(W8="평가 가능",ABS(X8),"")</f>
        <v/>
      </c>
      <c r="Z8" s="7">
        <f>IF(AND(ISNUMBER(M8),M8&gt;0,ISNUMBER(I8)),IF(M8&lt;I8,"최저가 미달",IF(M8=I8,"최저가 동액","최저가 초과")),"")</f>
        <v/>
      </c>
      <c r="AA8" s="7">
        <f>IF(AND(T8="낙찰",ISNUMBER(M8),M8&gt;0,ISNUMBER(U8)),IF(M8&lt;U8,"실제 낙찰가 미만",IF(M8=U8,"실제 낙찰가 동액","실제 낙찰가 초과")),"")</f>
        <v/>
      </c>
      <c r="AB8" s="7">
        <f>IF(AND(ISNUMBER(M8),M8&gt;0,ISNUMBER(R8)),IF(M8&lt;R8,"상한가 미만",IF(M8=R8,"상한가 동액","상한가 초과")),"")</f>
        <v/>
      </c>
      <c r="AC8" s="2" t="n"/>
      <c r="AD8" s="7">
        <f>IF(COUNTA(A8:Q8,S8:V8,AC8)=0,"",IF(OR(A8="",B8="",C8="",NOT(ISNUMBER(G8))),"식별값 확인",IF(COUNTIFS(A$2:A$301,A8,B$2:B$301,B8,C$2:C$301,C8,G$2:G$301,G8)&gt;1,"중복 회차",IF(AND(ISNUMBER(K8),K8&gt;G8),"기일 후 예측",IF(AND(T8="낙찰",W8=""),"평가 입력 확인","")))))</f>
        <v/>
      </c>
    </row>
    <row r="9">
      <c r="A9" s="3" t="n"/>
      <c r="B9" s="3" t="n"/>
      <c r="C9" s="3" t="n"/>
      <c r="D9" s="3" t="n"/>
      <c r="E9" s="3" t="n"/>
      <c r="F9" s="3" t="n"/>
      <c r="G9" s="9" t="n"/>
      <c r="H9" s="10" t="n"/>
      <c r="I9" s="10" t="n"/>
      <c r="J9" s="3" t="n"/>
      <c r="K9" s="9" t="n"/>
      <c r="L9" s="10" t="n"/>
      <c r="M9" s="10" t="n"/>
      <c r="N9" s="3" t="n"/>
      <c r="O9" s="10" t="n"/>
      <c r="P9" s="10" t="n"/>
      <c r="Q9" s="10" t="n"/>
      <c r="R9" s="6">
        <f>IF(COUNT(O9:Q9)=3,O9-P9-Q9,"")</f>
        <v/>
      </c>
      <c r="S9" s="3" t="n"/>
      <c r="T9" s="3" t="n"/>
      <c r="U9" s="10" t="n"/>
      <c r="V9" s="3" t="n"/>
      <c r="W9" s="7">
        <f>IF(AND(A9&lt;&gt;"",B9&lt;&gt;"",C9&lt;&gt;"",ISNUMBER(G9),ISNUMBER(K9),K9&lt;=G9,K9&gt;0,T9="낙찰",ISNUMBER(L9),L9&gt;0,ISNUMBER(U9),U9&gt;0,COUNTIFS(A$2:A$301,A9,B$2:B$301,B9,C$2:C$301,C9,G$2:G$301,G9)=1),"평가 가능","")</f>
        <v/>
      </c>
      <c r="X9" s="8">
        <f>IF(W9="평가 가능",(L9-U9)/U9,"")</f>
        <v/>
      </c>
      <c r="Y9" s="8">
        <f>IF(W9="평가 가능",ABS(X9),"")</f>
        <v/>
      </c>
      <c r="Z9" s="7">
        <f>IF(AND(ISNUMBER(M9),M9&gt;0,ISNUMBER(I9)),IF(M9&lt;I9,"최저가 미달",IF(M9=I9,"최저가 동액","최저가 초과")),"")</f>
        <v/>
      </c>
      <c r="AA9" s="7">
        <f>IF(AND(T9="낙찰",ISNUMBER(M9),M9&gt;0,ISNUMBER(U9)),IF(M9&lt;U9,"실제 낙찰가 미만",IF(M9=U9,"실제 낙찰가 동액","실제 낙찰가 초과")),"")</f>
        <v/>
      </c>
      <c r="AB9" s="7">
        <f>IF(AND(ISNUMBER(M9),M9&gt;0,ISNUMBER(R9)),IF(M9&lt;R9,"상한가 미만",IF(M9=R9,"상한가 동액","상한가 초과")),"")</f>
        <v/>
      </c>
      <c r="AC9" s="3" t="n"/>
      <c r="AD9" s="7">
        <f>IF(COUNTA(A9:Q9,S9:V9,AC9)=0,"",IF(OR(A9="",B9="",C9="",NOT(ISNUMBER(G9))),"식별값 확인",IF(COUNTIFS(A$2:A$301,A9,B$2:B$301,B9,C$2:C$301,C9,G$2:G$301,G9)&gt;1,"중복 회차",IF(AND(ISNUMBER(K9),K9&gt;G9),"기일 후 예측",IF(AND(T9="낙찰",W9=""),"평가 입력 확인","")))))</f>
        <v/>
      </c>
    </row>
    <row r="10">
      <c r="A10" s="2" t="n"/>
      <c r="B10" s="2" t="n"/>
      <c r="C10" s="2" t="n"/>
      <c r="D10" s="2" t="n"/>
      <c r="E10" s="2" t="n"/>
      <c r="F10" s="2" t="n"/>
      <c r="G10" s="4" t="n"/>
      <c r="H10" s="5" t="n"/>
      <c r="I10" s="5" t="n"/>
      <c r="J10" s="2" t="n"/>
      <c r="K10" s="4" t="n"/>
      <c r="L10" s="5" t="n"/>
      <c r="M10" s="5" t="n"/>
      <c r="N10" s="2" t="n"/>
      <c r="O10" s="5" t="n"/>
      <c r="P10" s="5" t="n"/>
      <c r="Q10" s="5" t="n"/>
      <c r="R10" s="6">
        <f>IF(COUNT(O10:Q10)=3,O10-P10-Q10,"")</f>
        <v/>
      </c>
      <c r="S10" s="2" t="n"/>
      <c r="T10" s="2" t="n"/>
      <c r="U10" s="5" t="n"/>
      <c r="V10" s="2" t="n"/>
      <c r="W10" s="7">
        <f>IF(AND(A10&lt;&gt;"",B10&lt;&gt;"",C10&lt;&gt;"",ISNUMBER(G10),ISNUMBER(K10),K10&lt;=G10,K10&gt;0,T10="낙찰",ISNUMBER(L10),L10&gt;0,ISNUMBER(U10),U10&gt;0,COUNTIFS(A$2:A$301,A10,B$2:B$301,B10,C$2:C$301,C10,G$2:G$301,G10)=1),"평가 가능","")</f>
        <v/>
      </c>
      <c r="X10" s="8">
        <f>IF(W10="평가 가능",(L10-U10)/U10,"")</f>
        <v/>
      </c>
      <c r="Y10" s="8">
        <f>IF(W10="평가 가능",ABS(X10),"")</f>
        <v/>
      </c>
      <c r="Z10" s="7">
        <f>IF(AND(ISNUMBER(M10),M10&gt;0,ISNUMBER(I10)),IF(M10&lt;I10,"최저가 미달",IF(M10=I10,"최저가 동액","최저가 초과")),"")</f>
        <v/>
      </c>
      <c r="AA10" s="7">
        <f>IF(AND(T10="낙찰",ISNUMBER(M10),M10&gt;0,ISNUMBER(U10)),IF(M10&lt;U10,"실제 낙찰가 미만",IF(M10=U10,"실제 낙찰가 동액","실제 낙찰가 초과")),"")</f>
        <v/>
      </c>
      <c r="AB10" s="7">
        <f>IF(AND(ISNUMBER(M10),M10&gt;0,ISNUMBER(R10)),IF(M10&lt;R10,"상한가 미만",IF(M10=R10,"상한가 동액","상한가 초과")),"")</f>
        <v/>
      </c>
      <c r="AC10" s="2" t="n"/>
      <c r="AD10" s="7">
        <f>IF(COUNTA(A10:Q10,S10:V10,AC10)=0,"",IF(OR(A10="",B10="",C10="",NOT(ISNUMBER(G10))),"식별값 확인",IF(COUNTIFS(A$2:A$301,A10,B$2:B$301,B10,C$2:C$301,C10,G$2:G$301,G10)&gt;1,"중복 회차",IF(AND(ISNUMBER(K10),K10&gt;G10),"기일 후 예측",IF(AND(T10="낙찰",W10=""),"평가 입력 확인","")))))</f>
        <v/>
      </c>
    </row>
    <row r="11">
      <c r="A11" s="3" t="n"/>
      <c r="B11" s="3" t="n"/>
      <c r="C11" s="3" t="n"/>
      <c r="D11" s="3" t="n"/>
      <c r="E11" s="3" t="n"/>
      <c r="F11" s="3" t="n"/>
      <c r="G11" s="9" t="n"/>
      <c r="H11" s="10" t="n"/>
      <c r="I11" s="10" t="n"/>
      <c r="J11" s="3" t="n"/>
      <c r="K11" s="9" t="n"/>
      <c r="L11" s="10" t="n"/>
      <c r="M11" s="10" t="n"/>
      <c r="N11" s="3" t="n"/>
      <c r="O11" s="10" t="n"/>
      <c r="P11" s="10" t="n"/>
      <c r="Q11" s="10" t="n"/>
      <c r="R11" s="6">
        <f>IF(COUNT(O11:Q11)=3,O11-P11-Q11,"")</f>
        <v/>
      </c>
      <c r="S11" s="3" t="n"/>
      <c r="T11" s="3" t="n"/>
      <c r="U11" s="10" t="n"/>
      <c r="V11" s="3" t="n"/>
      <c r="W11" s="7">
        <f>IF(AND(A11&lt;&gt;"",B11&lt;&gt;"",C11&lt;&gt;"",ISNUMBER(G11),ISNUMBER(K11),K11&lt;=G11,K11&gt;0,T11="낙찰",ISNUMBER(L11),L11&gt;0,ISNUMBER(U11),U11&gt;0,COUNTIFS(A$2:A$301,A11,B$2:B$301,B11,C$2:C$301,C11,G$2:G$301,G11)=1),"평가 가능","")</f>
        <v/>
      </c>
      <c r="X11" s="8">
        <f>IF(W11="평가 가능",(L11-U11)/U11,"")</f>
        <v/>
      </c>
      <c r="Y11" s="8">
        <f>IF(W11="평가 가능",ABS(X11),"")</f>
        <v/>
      </c>
      <c r="Z11" s="7">
        <f>IF(AND(ISNUMBER(M11),M11&gt;0,ISNUMBER(I11)),IF(M11&lt;I11,"최저가 미달",IF(M11=I11,"최저가 동액","최저가 초과")),"")</f>
        <v/>
      </c>
      <c r="AA11" s="7">
        <f>IF(AND(T11="낙찰",ISNUMBER(M11),M11&gt;0,ISNUMBER(U11)),IF(M11&lt;U11,"실제 낙찰가 미만",IF(M11=U11,"실제 낙찰가 동액","실제 낙찰가 초과")),"")</f>
        <v/>
      </c>
      <c r="AB11" s="7">
        <f>IF(AND(ISNUMBER(M11),M11&gt;0,ISNUMBER(R11)),IF(M11&lt;R11,"상한가 미만",IF(M11=R11,"상한가 동액","상한가 초과")),"")</f>
        <v/>
      </c>
      <c r="AC11" s="3" t="n"/>
      <c r="AD11" s="7">
        <f>IF(COUNTA(A11:Q11,S11:V11,AC11)=0,"",IF(OR(A11="",B11="",C11="",NOT(ISNUMBER(G11))),"식별값 확인",IF(COUNTIFS(A$2:A$301,A11,B$2:B$301,B11,C$2:C$301,C11,G$2:G$301,G11)&gt;1,"중복 회차",IF(AND(ISNUMBER(K11),K11&gt;G11),"기일 후 예측",IF(AND(T11="낙찰",W11=""),"평가 입력 확인","")))))</f>
        <v/>
      </c>
    </row>
    <row r="12">
      <c r="A12" s="2" t="n"/>
      <c r="B12" s="2" t="n"/>
      <c r="C12" s="2" t="n"/>
      <c r="D12" s="2" t="n"/>
      <c r="E12" s="2" t="n"/>
      <c r="F12" s="2" t="n"/>
      <c r="G12" s="4" t="n"/>
      <c r="H12" s="5" t="n"/>
      <c r="I12" s="5" t="n"/>
      <c r="J12" s="2" t="n"/>
      <c r="K12" s="4" t="n"/>
      <c r="L12" s="5" t="n"/>
      <c r="M12" s="5" t="n"/>
      <c r="N12" s="2" t="n"/>
      <c r="O12" s="5" t="n"/>
      <c r="P12" s="5" t="n"/>
      <c r="Q12" s="5" t="n"/>
      <c r="R12" s="6">
        <f>IF(COUNT(O12:Q12)=3,O12-P12-Q12,"")</f>
        <v/>
      </c>
      <c r="S12" s="2" t="n"/>
      <c r="T12" s="2" t="n"/>
      <c r="U12" s="5" t="n"/>
      <c r="V12" s="2" t="n"/>
      <c r="W12" s="7">
        <f>IF(AND(A12&lt;&gt;"",B12&lt;&gt;"",C12&lt;&gt;"",ISNUMBER(G12),ISNUMBER(K12),K12&lt;=G12,K12&gt;0,T12="낙찰",ISNUMBER(L12),L12&gt;0,ISNUMBER(U12),U12&gt;0,COUNTIFS(A$2:A$301,A12,B$2:B$301,B12,C$2:C$301,C12,G$2:G$301,G12)=1),"평가 가능","")</f>
        <v/>
      </c>
      <c r="X12" s="8">
        <f>IF(W12="평가 가능",(L12-U12)/U12,"")</f>
        <v/>
      </c>
      <c r="Y12" s="8">
        <f>IF(W12="평가 가능",ABS(X12),"")</f>
        <v/>
      </c>
      <c r="Z12" s="7">
        <f>IF(AND(ISNUMBER(M12),M12&gt;0,ISNUMBER(I12)),IF(M12&lt;I12,"최저가 미달",IF(M12=I12,"최저가 동액","최저가 초과")),"")</f>
        <v/>
      </c>
      <c r="AA12" s="7">
        <f>IF(AND(T12="낙찰",ISNUMBER(M12),M12&gt;0,ISNUMBER(U12)),IF(M12&lt;U12,"실제 낙찰가 미만",IF(M12=U12,"실제 낙찰가 동액","실제 낙찰가 초과")),"")</f>
        <v/>
      </c>
      <c r="AB12" s="7">
        <f>IF(AND(ISNUMBER(M12),M12&gt;0,ISNUMBER(R12)),IF(M12&lt;R12,"상한가 미만",IF(M12=R12,"상한가 동액","상한가 초과")),"")</f>
        <v/>
      </c>
      <c r="AC12" s="2" t="n"/>
      <c r="AD12" s="7">
        <f>IF(COUNTA(A12:Q12,S12:V12,AC12)=0,"",IF(OR(A12="",B12="",C12="",NOT(ISNUMBER(G12))),"식별값 확인",IF(COUNTIFS(A$2:A$301,A12,B$2:B$301,B12,C$2:C$301,C12,G$2:G$301,G12)&gt;1,"중복 회차",IF(AND(ISNUMBER(K12),K12&gt;G12),"기일 후 예측",IF(AND(T12="낙찰",W12=""),"평가 입력 확인","")))))</f>
        <v/>
      </c>
    </row>
    <row r="13">
      <c r="A13" s="3" t="n"/>
      <c r="B13" s="3" t="n"/>
      <c r="C13" s="3" t="n"/>
      <c r="D13" s="3" t="n"/>
      <c r="E13" s="3" t="n"/>
      <c r="F13" s="3" t="n"/>
      <c r="G13" s="9" t="n"/>
      <c r="H13" s="10" t="n"/>
      <c r="I13" s="10" t="n"/>
      <c r="J13" s="3" t="n"/>
      <c r="K13" s="9" t="n"/>
      <c r="L13" s="10" t="n"/>
      <c r="M13" s="10" t="n"/>
      <c r="N13" s="3" t="n"/>
      <c r="O13" s="10" t="n"/>
      <c r="P13" s="10" t="n"/>
      <c r="Q13" s="10" t="n"/>
      <c r="R13" s="6">
        <f>IF(COUNT(O13:Q13)=3,O13-P13-Q13,"")</f>
        <v/>
      </c>
      <c r="S13" s="3" t="n"/>
      <c r="T13" s="3" t="n"/>
      <c r="U13" s="10" t="n"/>
      <c r="V13" s="3" t="n"/>
      <c r="W13" s="7">
        <f>IF(AND(A13&lt;&gt;"",B13&lt;&gt;"",C13&lt;&gt;"",ISNUMBER(G13),ISNUMBER(K13),K13&lt;=G13,K13&gt;0,T13="낙찰",ISNUMBER(L13),L13&gt;0,ISNUMBER(U13),U13&gt;0,COUNTIFS(A$2:A$301,A13,B$2:B$301,B13,C$2:C$301,C13,G$2:G$301,G13)=1),"평가 가능","")</f>
        <v/>
      </c>
      <c r="X13" s="8">
        <f>IF(W13="평가 가능",(L13-U13)/U13,"")</f>
        <v/>
      </c>
      <c r="Y13" s="8">
        <f>IF(W13="평가 가능",ABS(X13),"")</f>
        <v/>
      </c>
      <c r="Z13" s="7">
        <f>IF(AND(ISNUMBER(M13),M13&gt;0,ISNUMBER(I13)),IF(M13&lt;I13,"최저가 미달",IF(M13=I13,"최저가 동액","최저가 초과")),"")</f>
        <v/>
      </c>
      <c r="AA13" s="7">
        <f>IF(AND(T13="낙찰",ISNUMBER(M13),M13&gt;0,ISNUMBER(U13)),IF(M13&lt;U13,"실제 낙찰가 미만",IF(M13=U13,"실제 낙찰가 동액","실제 낙찰가 초과")),"")</f>
        <v/>
      </c>
      <c r="AB13" s="7">
        <f>IF(AND(ISNUMBER(M13),M13&gt;0,ISNUMBER(R13)),IF(M13&lt;R13,"상한가 미만",IF(M13=R13,"상한가 동액","상한가 초과")),"")</f>
        <v/>
      </c>
      <c r="AC13" s="3" t="n"/>
      <c r="AD13" s="7">
        <f>IF(COUNTA(A13:Q13,S13:V13,AC13)=0,"",IF(OR(A13="",B13="",C13="",NOT(ISNUMBER(G13))),"식별값 확인",IF(COUNTIFS(A$2:A$301,A13,B$2:B$301,B13,C$2:C$301,C13,G$2:G$301,G13)&gt;1,"중복 회차",IF(AND(ISNUMBER(K13),K13&gt;G13),"기일 후 예측",IF(AND(T13="낙찰",W13=""),"평가 입력 확인","")))))</f>
        <v/>
      </c>
    </row>
    <row r="14">
      <c r="A14" s="2" t="n"/>
      <c r="B14" s="2" t="n"/>
      <c r="C14" s="2" t="n"/>
      <c r="D14" s="2" t="n"/>
      <c r="E14" s="2" t="n"/>
      <c r="F14" s="2" t="n"/>
      <c r="G14" s="4" t="n"/>
      <c r="H14" s="5" t="n"/>
      <c r="I14" s="5" t="n"/>
      <c r="J14" s="2" t="n"/>
      <c r="K14" s="4" t="n"/>
      <c r="L14" s="5" t="n"/>
      <c r="M14" s="5" t="n"/>
      <c r="N14" s="2" t="n"/>
      <c r="O14" s="5" t="n"/>
      <c r="P14" s="5" t="n"/>
      <c r="Q14" s="5" t="n"/>
      <c r="R14" s="6">
        <f>IF(COUNT(O14:Q14)=3,O14-P14-Q14,"")</f>
        <v/>
      </c>
      <c r="S14" s="2" t="n"/>
      <c r="T14" s="2" t="n"/>
      <c r="U14" s="5" t="n"/>
      <c r="V14" s="2" t="n"/>
      <c r="W14" s="7">
        <f>IF(AND(A14&lt;&gt;"",B14&lt;&gt;"",C14&lt;&gt;"",ISNUMBER(G14),ISNUMBER(K14),K14&lt;=G14,K14&gt;0,T14="낙찰",ISNUMBER(L14),L14&gt;0,ISNUMBER(U14),U14&gt;0,COUNTIFS(A$2:A$301,A14,B$2:B$301,B14,C$2:C$301,C14,G$2:G$301,G14)=1),"평가 가능","")</f>
        <v/>
      </c>
      <c r="X14" s="8">
        <f>IF(W14="평가 가능",(L14-U14)/U14,"")</f>
        <v/>
      </c>
      <c r="Y14" s="8">
        <f>IF(W14="평가 가능",ABS(X14),"")</f>
        <v/>
      </c>
      <c r="Z14" s="7">
        <f>IF(AND(ISNUMBER(M14),M14&gt;0,ISNUMBER(I14)),IF(M14&lt;I14,"최저가 미달",IF(M14=I14,"최저가 동액","최저가 초과")),"")</f>
        <v/>
      </c>
      <c r="AA14" s="7">
        <f>IF(AND(T14="낙찰",ISNUMBER(M14),M14&gt;0,ISNUMBER(U14)),IF(M14&lt;U14,"실제 낙찰가 미만",IF(M14=U14,"실제 낙찰가 동액","실제 낙찰가 초과")),"")</f>
        <v/>
      </c>
      <c r="AB14" s="7">
        <f>IF(AND(ISNUMBER(M14),M14&gt;0,ISNUMBER(R14)),IF(M14&lt;R14,"상한가 미만",IF(M14=R14,"상한가 동액","상한가 초과")),"")</f>
        <v/>
      </c>
      <c r="AC14" s="2" t="n"/>
      <c r="AD14" s="7">
        <f>IF(COUNTA(A14:Q14,S14:V14,AC14)=0,"",IF(OR(A14="",B14="",C14="",NOT(ISNUMBER(G14))),"식별값 확인",IF(COUNTIFS(A$2:A$301,A14,B$2:B$301,B14,C$2:C$301,C14,G$2:G$301,G14)&gt;1,"중복 회차",IF(AND(ISNUMBER(K14),K14&gt;G14),"기일 후 예측",IF(AND(T14="낙찰",W14=""),"평가 입력 확인","")))))</f>
        <v/>
      </c>
    </row>
    <row r="15">
      <c r="A15" s="3" t="n"/>
      <c r="B15" s="3" t="n"/>
      <c r="C15" s="3" t="n"/>
      <c r="D15" s="3" t="n"/>
      <c r="E15" s="3" t="n"/>
      <c r="F15" s="3" t="n"/>
      <c r="G15" s="9" t="n"/>
      <c r="H15" s="10" t="n"/>
      <c r="I15" s="10" t="n"/>
      <c r="J15" s="3" t="n"/>
      <c r="K15" s="9" t="n"/>
      <c r="L15" s="10" t="n"/>
      <c r="M15" s="10" t="n"/>
      <c r="N15" s="3" t="n"/>
      <c r="O15" s="10" t="n"/>
      <c r="P15" s="10" t="n"/>
      <c r="Q15" s="10" t="n"/>
      <c r="R15" s="6">
        <f>IF(COUNT(O15:Q15)=3,O15-P15-Q15,"")</f>
        <v/>
      </c>
      <c r="S15" s="3" t="n"/>
      <c r="T15" s="3" t="n"/>
      <c r="U15" s="10" t="n"/>
      <c r="V15" s="3" t="n"/>
      <c r="W15" s="7">
        <f>IF(AND(A15&lt;&gt;"",B15&lt;&gt;"",C15&lt;&gt;"",ISNUMBER(G15),ISNUMBER(K15),K15&lt;=G15,K15&gt;0,T15="낙찰",ISNUMBER(L15),L15&gt;0,ISNUMBER(U15),U15&gt;0,COUNTIFS(A$2:A$301,A15,B$2:B$301,B15,C$2:C$301,C15,G$2:G$301,G15)=1),"평가 가능","")</f>
        <v/>
      </c>
      <c r="X15" s="8">
        <f>IF(W15="평가 가능",(L15-U15)/U15,"")</f>
        <v/>
      </c>
      <c r="Y15" s="8">
        <f>IF(W15="평가 가능",ABS(X15),"")</f>
        <v/>
      </c>
      <c r="Z15" s="7">
        <f>IF(AND(ISNUMBER(M15),M15&gt;0,ISNUMBER(I15)),IF(M15&lt;I15,"최저가 미달",IF(M15=I15,"최저가 동액","최저가 초과")),"")</f>
        <v/>
      </c>
      <c r="AA15" s="7">
        <f>IF(AND(T15="낙찰",ISNUMBER(M15),M15&gt;0,ISNUMBER(U15)),IF(M15&lt;U15,"실제 낙찰가 미만",IF(M15=U15,"실제 낙찰가 동액","실제 낙찰가 초과")),"")</f>
        <v/>
      </c>
      <c r="AB15" s="7">
        <f>IF(AND(ISNUMBER(M15),M15&gt;0,ISNUMBER(R15)),IF(M15&lt;R15,"상한가 미만",IF(M15=R15,"상한가 동액","상한가 초과")),"")</f>
        <v/>
      </c>
      <c r="AC15" s="3" t="n"/>
      <c r="AD15" s="7">
        <f>IF(COUNTA(A15:Q15,S15:V15,AC15)=0,"",IF(OR(A15="",B15="",C15="",NOT(ISNUMBER(G15))),"식별값 확인",IF(COUNTIFS(A$2:A$301,A15,B$2:B$301,B15,C$2:C$301,C15,G$2:G$301,G15)&gt;1,"중복 회차",IF(AND(ISNUMBER(K15),K15&gt;G15),"기일 후 예측",IF(AND(T15="낙찰",W15=""),"평가 입력 확인","")))))</f>
        <v/>
      </c>
    </row>
    <row r="16">
      <c r="A16" s="2" t="n"/>
      <c r="B16" s="2" t="n"/>
      <c r="C16" s="2" t="n"/>
      <c r="D16" s="2" t="n"/>
      <c r="E16" s="2" t="n"/>
      <c r="F16" s="2" t="n"/>
      <c r="G16" s="4" t="n"/>
      <c r="H16" s="5" t="n"/>
      <c r="I16" s="5" t="n"/>
      <c r="J16" s="2" t="n"/>
      <c r="K16" s="4" t="n"/>
      <c r="L16" s="5" t="n"/>
      <c r="M16" s="5" t="n"/>
      <c r="N16" s="2" t="n"/>
      <c r="O16" s="5" t="n"/>
      <c r="P16" s="5" t="n"/>
      <c r="Q16" s="5" t="n"/>
      <c r="R16" s="6">
        <f>IF(COUNT(O16:Q16)=3,O16-P16-Q16,"")</f>
        <v/>
      </c>
      <c r="S16" s="2" t="n"/>
      <c r="T16" s="2" t="n"/>
      <c r="U16" s="5" t="n"/>
      <c r="V16" s="2" t="n"/>
      <c r="W16" s="7">
        <f>IF(AND(A16&lt;&gt;"",B16&lt;&gt;"",C16&lt;&gt;"",ISNUMBER(G16),ISNUMBER(K16),K16&lt;=G16,K16&gt;0,T16="낙찰",ISNUMBER(L16),L16&gt;0,ISNUMBER(U16),U16&gt;0,COUNTIFS(A$2:A$301,A16,B$2:B$301,B16,C$2:C$301,C16,G$2:G$301,G16)=1),"평가 가능","")</f>
        <v/>
      </c>
      <c r="X16" s="8">
        <f>IF(W16="평가 가능",(L16-U16)/U16,"")</f>
        <v/>
      </c>
      <c r="Y16" s="8">
        <f>IF(W16="평가 가능",ABS(X16),"")</f>
        <v/>
      </c>
      <c r="Z16" s="7">
        <f>IF(AND(ISNUMBER(M16),M16&gt;0,ISNUMBER(I16)),IF(M16&lt;I16,"최저가 미달",IF(M16=I16,"최저가 동액","최저가 초과")),"")</f>
        <v/>
      </c>
      <c r="AA16" s="7">
        <f>IF(AND(T16="낙찰",ISNUMBER(M16),M16&gt;0,ISNUMBER(U16)),IF(M16&lt;U16,"실제 낙찰가 미만",IF(M16=U16,"실제 낙찰가 동액","실제 낙찰가 초과")),"")</f>
        <v/>
      </c>
      <c r="AB16" s="7">
        <f>IF(AND(ISNUMBER(M16),M16&gt;0,ISNUMBER(R16)),IF(M16&lt;R16,"상한가 미만",IF(M16=R16,"상한가 동액","상한가 초과")),"")</f>
        <v/>
      </c>
      <c r="AC16" s="2" t="n"/>
      <c r="AD16" s="7">
        <f>IF(COUNTA(A16:Q16,S16:V16,AC16)=0,"",IF(OR(A16="",B16="",C16="",NOT(ISNUMBER(G16))),"식별값 확인",IF(COUNTIFS(A$2:A$301,A16,B$2:B$301,B16,C$2:C$301,C16,G$2:G$301,G16)&gt;1,"중복 회차",IF(AND(ISNUMBER(K16),K16&gt;G16),"기일 후 예측",IF(AND(T16="낙찰",W16=""),"평가 입력 확인","")))))</f>
        <v/>
      </c>
    </row>
    <row r="17">
      <c r="A17" s="3" t="n"/>
      <c r="B17" s="3" t="n"/>
      <c r="C17" s="3" t="n"/>
      <c r="D17" s="3" t="n"/>
      <c r="E17" s="3" t="n"/>
      <c r="F17" s="3" t="n"/>
      <c r="G17" s="9" t="n"/>
      <c r="H17" s="10" t="n"/>
      <c r="I17" s="10" t="n"/>
      <c r="J17" s="3" t="n"/>
      <c r="K17" s="9" t="n"/>
      <c r="L17" s="10" t="n"/>
      <c r="M17" s="10" t="n"/>
      <c r="N17" s="3" t="n"/>
      <c r="O17" s="10" t="n"/>
      <c r="P17" s="10" t="n"/>
      <c r="Q17" s="10" t="n"/>
      <c r="R17" s="6">
        <f>IF(COUNT(O17:Q17)=3,O17-P17-Q17,"")</f>
        <v/>
      </c>
      <c r="S17" s="3" t="n"/>
      <c r="T17" s="3" t="n"/>
      <c r="U17" s="10" t="n"/>
      <c r="V17" s="3" t="n"/>
      <c r="W17" s="7">
        <f>IF(AND(A17&lt;&gt;"",B17&lt;&gt;"",C17&lt;&gt;"",ISNUMBER(G17),ISNUMBER(K17),K17&lt;=G17,K17&gt;0,T17="낙찰",ISNUMBER(L17),L17&gt;0,ISNUMBER(U17),U17&gt;0,COUNTIFS(A$2:A$301,A17,B$2:B$301,B17,C$2:C$301,C17,G$2:G$301,G17)=1),"평가 가능","")</f>
        <v/>
      </c>
      <c r="X17" s="8">
        <f>IF(W17="평가 가능",(L17-U17)/U17,"")</f>
        <v/>
      </c>
      <c r="Y17" s="8">
        <f>IF(W17="평가 가능",ABS(X17),"")</f>
        <v/>
      </c>
      <c r="Z17" s="7">
        <f>IF(AND(ISNUMBER(M17),M17&gt;0,ISNUMBER(I17)),IF(M17&lt;I17,"최저가 미달",IF(M17=I17,"최저가 동액","최저가 초과")),"")</f>
        <v/>
      </c>
      <c r="AA17" s="7">
        <f>IF(AND(T17="낙찰",ISNUMBER(M17),M17&gt;0,ISNUMBER(U17)),IF(M17&lt;U17,"실제 낙찰가 미만",IF(M17=U17,"실제 낙찰가 동액","실제 낙찰가 초과")),"")</f>
        <v/>
      </c>
      <c r="AB17" s="7">
        <f>IF(AND(ISNUMBER(M17),M17&gt;0,ISNUMBER(R17)),IF(M17&lt;R17,"상한가 미만",IF(M17=R17,"상한가 동액","상한가 초과")),"")</f>
        <v/>
      </c>
      <c r="AC17" s="3" t="n"/>
      <c r="AD17" s="7">
        <f>IF(COUNTA(A17:Q17,S17:V17,AC17)=0,"",IF(OR(A17="",B17="",C17="",NOT(ISNUMBER(G17))),"식별값 확인",IF(COUNTIFS(A$2:A$301,A17,B$2:B$301,B17,C$2:C$301,C17,G$2:G$301,G17)&gt;1,"중복 회차",IF(AND(ISNUMBER(K17),K17&gt;G17),"기일 후 예측",IF(AND(T17="낙찰",W17=""),"평가 입력 확인","")))))</f>
        <v/>
      </c>
    </row>
    <row r="18">
      <c r="A18" s="2" t="n"/>
      <c r="B18" s="2" t="n"/>
      <c r="C18" s="2" t="n"/>
      <c r="D18" s="2" t="n"/>
      <c r="E18" s="2" t="n"/>
      <c r="F18" s="2" t="n"/>
      <c r="G18" s="4" t="n"/>
      <c r="H18" s="5" t="n"/>
      <c r="I18" s="5" t="n"/>
      <c r="J18" s="2" t="n"/>
      <c r="K18" s="4" t="n"/>
      <c r="L18" s="5" t="n"/>
      <c r="M18" s="5" t="n"/>
      <c r="N18" s="2" t="n"/>
      <c r="O18" s="5" t="n"/>
      <c r="P18" s="5" t="n"/>
      <c r="Q18" s="5" t="n"/>
      <c r="R18" s="6">
        <f>IF(COUNT(O18:Q18)=3,O18-P18-Q18,"")</f>
        <v/>
      </c>
      <c r="S18" s="2" t="n"/>
      <c r="T18" s="2" t="n"/>
      <c r="U18" s="5" t="n"/>
      <c r="V18" s="2" t="n"/>
      <c r="W18" s="7">
        <f>IF(AND(A18&lt;&gt;"",B18&lt;&gt;"",C18&lt;&gt;"",ISNUMBER(G18),ISNUMBER(K18),K18&lt;=G18,K18&gt;0,T18="낙찰",ISNUMBER(L18),L18&gt;0,ISNUMBER(U18),U18&gt;0,COUNTIFS(A$2:A$301,A18,B$2:B$301,B18,C$2:C$301,C18,G$2:G$301,G18)=1),"평가 가능","")</f>
        <v/>
      </c>
      <c r="X18" s="8">
        <f>IF(W18="평가 가능",(L18-U18)/U18,"")</f>
        <v/>
      </c>
      <c r="Y18" s="8">
        <f>IF(W18="평가 가능",ABS(X18),"")</f>
        <v/>
      </c>
      <c r="Z18" s="7">
        <f>IF(AND(ISNUMBER(M18),M18&gt;0,ISNUMBER(I18)),IF(M18&lt;I18,"최저가 미달",IF(M18=I18,"최저가 동액","최저가 초과")),"")</f>
        <v/>
      </c>
      <c r="AA18" s="7">
        <f>IF(AND(T18="낙찰",ISNUMBER(M18),M18&gt;0,ISNUMBER(U18)),IF(M18&lt;U18,"실제 낙찰가 미만",IF(M18=U18,"실제 낙찰가 동액","실제 낙찰가 초과")),"")</f>
        <v/>
      </c>
      <c r="AB18" s="7">
        <f>IF(AND(ISNUMBER(M18),M18&gt;0,ISNUMBER(R18)),IF(M18&lt;R18,"상한가 미만",IF(M18=R18,"상한가 동액","상한가 초과")),"")</f>
        <v/>
      </c>
      <c r="AC18" s="2" t="n"/>
      <c r="AD18" s="7">
        <f>IF(COUNTA(A18:Q18,S18:V18,AC18)=0,"",IF(OR(A18="",B18="",C18="",NOT(ISNUMBER(G18))),"식별값 확인",IF(COUNTIFS(A$2:A$301,A18,B$2:B$301,B18,C$2:C$301,C18,G$2:G$301,G18)&gt;1,"중복 회차",IF(AND(ISNUMBER(K18),K18&gt;G18),"기일 후 예측",IF(AND(T18="낙찰",W18=""),"평가 입력 확인","")))))</f>
        <v/>
      </c>
    </row>
    <row r="19">
      <c r="A19" s="3" t="n"/>
      <c r="B19" s="3" t="n"/>
      <c r="C19" s="3" t="n"/>
      <c r="D19" s="3" t="n"/>
      <c r="E19" s="3" t="n"/>
      <c r="F19" s="3" t="n"/>
      <c r="G19" s="9" t="n"/>
      <c r="H19" s="10" t="n"/>
      <c r="I19" s="10" t="n"/>
      <c r="J19" s="3" t="n"/>
      <c r="K19" s="9" t="n"/>
      <c r="L19" s="10" t="n"/>
      <c r="M19" s="10" t="n"/>
      <c r="N19" s="3" t="n"/>
      <c r="O19" s="10" t="n"/>
      <c r="P19" s="10" t="n"/>
      <c r="Q19" s="10" t="n"/>
      <c r="R19" s="6">
        <f>IF(COUNT(O19:Q19)=3,O19-P19-Q19,"")</f>
        <v/>
      </c>
      <c r="S19" s="3" t="n"/>
      <c r="T19" s="3" t="n"/>
      <c r="U19" s="10" t="n"/>
      <c r="V19" s="3" t="n"/>
      <c r="W19" s="7">
        <f>IF(AND(A19&lt;&gt;"",B19&lt;&gt;"",C19&lt;&gt;"",ISNUMBER(G19),ISNUMBER(K19),K19&lt;=G19,K19&gt;0,T19="낙찰",ISNUMBER(L19),L19&gt;0,ISNUMBER(U19),U19&gt;0,COUNTIFS(A$2:A$301,A19,B$2:B$301,B19,C$2:C$301,C19,G$2:G$301,G19)=1),"평가 가능","")</f>
        <v/>
      </c>
      <c r="X19" s="8">
        <f>IF(W19="평가 가능",(L19-U19)/U19,"")</f>
        <v/>
      </c>
      <c r="Y19" s="8">
        <f>IF(W19="평가 가능",ABS(X19),"")</f>
        <v/>
      </c>
      <c r="Z19" s="7">
        <f>IF(AND(ISNUMBER(M19),M19&gt;0,ISNUMBER(I19)),IF(M19&lt;I19,"최저가 미달",IF(M19=I19,"최저가 동액","최저가 초과")),"")</f>
        <v/>
      </c>
      <c r="AA19" s="7">
        <f>IF(AND(T19="낙찰",ISNUMBER(M19),M19&gt;0,ISNUMBER(U19)),IF(M19&lt;U19,"실제 낙찰가 미만",IF(M19=U19,"실제 낙찰가 동액","실제 낙찰가 초과")),"")</f>
        <v/>
      </c>
      <c r="AB19" s="7">
        <f>IF(AND(ISNUMBER(M19),M19&gt;0,ISNUMBER(R19)),IF(M19&lt;R19,"상한가 미만",IF(M19=R19,"상한가 동액","상한가 초과")),"")</f>
        <v/>
      </c>
      <c r="AC19" s="3" t="n"/>
      <c r="AD19" s="7">
        <f>IF(COUNTA(A19:Q19,S19:V19,AC19)=0,"",IF(OR(A19="",B19="",C19="",NOT(ISNUMBER(G19))),"식별값 확인",IF(COUNTIFS(A$2:A$301,A19,B$2:B$301,B19,C$2:C$301,C19,G$2:G$301,G19)&gt;1,"중복 회차",IF(AND(ISNUMBER(K19),K19&gt;G19),"기일 후 예측",IF(AND(T19="낙찰",W19=""),"평가 입력 확인","")))))</f>
        <v/>
      </c>
    </row>
    <row r="20">
      <c r="A20" s="2" t="n"/>
      <c r="B20" s="2" t="n"/>
      <c r="C20" s="2" t="n"/>
      <c r="D20" s="2" t="n"/>
      <c r="E20" s="2" t="n"/>
      <c r="F20" s="2" t="n"/>
      <c r="G20" s="4" t="n"/>
      <c r="H20" s="5" t="n"/>
      <c r="I20" s="5" t="n"/>
      <c r="J20" s="2" t="n"/>
      <c r="K20" s="4" t="n"/>
      <c r="L20" s="5" t="n"/>
      <c r="M20" s="5" t="n"/>
      <c r="N20" s="2" t="n"/>
      <c r="O20" s="5" t="n"/>
      <c r="P20" s="5" t="n"/>
      <c r="Q20" s="5" t="n"/>
      <c r="R20" s="6">
        <f>IF(COUNT(O20:Q20)=3,O20-P20-Q20,"")</f>
        <v/>
      </c>
      <c r="S20" s="2" t="n"/>
      <c r="T20" s="2" t="n"/>
      <c r="U20" s="5" t="n"/>
      <c r="V20" s="2" t="n"/>
      <c r="W20" s="7">
        <f>IF(AND(A20&lt;&gt;"",B20&lt;&gt;"",C20&lt;&gt;"",ISNUMBER(G20),ISNUMBER(K20),K20&lt;=G20,K20&gt;0,T20="낙찰",ISNUMBER(L20),L20&gt;0,ISNUMBER(U20),U20&gt;0,COUNTIFS(A$2:A$301,A20,B$2:B$301,B20,C$2:C$301,C20,G$2:G$301,G20)=1),"평가 가능","")</f>
        <v/>
      </c>
      <c r="X20" s="8">
        <f>IF(W20="평가 가능",(L20-U20)/U20,"")</f>
        <v/>
      </c>
      <c r="Y20" s="8">
        <f>IF(W20="평가 가능",ABS(X20),"")</f>
        <v/>
      </c>
      <c r="Z20" s="7">
        <f>IF(AND(ISNUMBER(M20),M20&gt;0,ISNUMBER(I20)),IF(M20&lt;I20,"최저가 미달",IF(M20=I20,"최저가 동액","최저가 초과")),"")</f>
        <v/>
      </c>
      <c r="AA20" s="7">
        <f>IF(AND(T20="낙찰",ISNUMBER(M20),M20&gt;0,ISNUMBER(U20)),IF(M20&lt;U20,"실제 낙찰가 미만",IF(M20=U20,"실제 낙찰가 동액","실제 낙찰가 초과")),"")</f>
        <v/>
      </c>
      <c r="AB20" s="7">
        <f>IF(AND(ISNUMBER(M20),M20&gt;0,ISNUMBER(R20)),IF(M20&lt;R20,"상한가 미만",IF(M20=R20,"상한가 동액","상한가 초과")),"")</f>
        <v/>
      </c>
      <c r="AC20" s="2" t="n"/>
      <c r="AD20" s="7">
        <f>IF(COUNTA(A20:Q20,S20:V20,AC20)=0,"",IF(OR(A20="",B20="",C20="",NOT(ISNUMBER(G20))),"식별값 확인",IF(COUNTIFS(A$2:A$301,A20,B$2:B$301,B20,C$2:C$301,C20,G$2:G$301,G20)&gt;1,"중복 회차",IF(AND(ISNUMBER(K20),K20&gt;G20),"기일 후 예측",IF(AND(T20="낙찰",W20=""),"평가 입력 확인","")))))</f>
        <v/>
      </c>
    </row>
    <row r="21">
      <c r="A21" s="3" t="n"/>
      <c r="B21" s="3" t="n"/>
      <c r="C21" s="3" t="n"/>
      <c r="D21" s="3" t="n"/>
      <c r="E21" s="3" t="n"/>
      <c r="F21" s="3" t="n"/>
      <c r="G21" s="9" t="n"/>
      <c r="H21" s="10" t="n"/>
      <c r="I21" s="10" t="n"/>
      <c r="J21" s="3" t="n"/>
      <c r="K21" s="9" t="n"/>
      <c r="L21" s="10" t="n"/>
      <c r="M21" s="10" t="n"/>
      <c r="N21" s="3" t="n"/>
      <c r="O21" s="10" t="n"/>
      <c r="P21" s="10" t="n"/>
      <c r="Q21" s="10" t="n"/>
      <c r="R21" s="6">
        <f>IF(COUNT(O21:Q21)=3,O21-P21-Q21,"")</f>
        <v/>
      </c>
      <c r="S21" s="3" t="n"/>
      <c r="T21" s="3" t="n"/>
      <c r="U21" s="10" t="n"/>
      <c r="V21" s="3" t="n"/>
      <c r="W21" s="7">
        <f>IF(AND(A21&lt;&gt;"",B21&lt;&gt;"",C21&lt;&gt;"",ISNUMBER(G21),ISNUMBER(K21),K21&lt;=G21,K21&gt;0,T21="낙찰",ISNUMBER(L21),L21&gt;0,ISNUMBER(U21),U21&gt;0,COUNTIFS(A$2:A$301,A21,B$2:B$301,B21,C$2:C$301,C21,G$2:G$301,G21)=1),"평가 가능","")</f>
        <v/>
      </c>
      <c r="X21" s="8">
        <f>IF(W21="평가 가능",(L21-U21)/U21,"")</f>
        <v/>
      </c>
      <c r="Y21" s="8">
        <f>IF(W21="평가 가능",ABS(X21),"")</f>
        <v/>
      </c>
      <c r="Z21" s="7">
        <f>IF(AND(ISNUMBER(M21),M21&gt;0,ISNUMBER(I21)),IF(M21&lt;I21,"최저가 미달",IF(M21=I21,"최저가 동액","최저가 초과")),"")</f>
        <v/>
      </c>
      <c r="AA21" s="7">
        <f>IF(AND(T21="낙찰",ISNUMBER(M21),M21&gt;0,ISNUMBER(U21)),IF(M21&lt;U21,"실제 낙찰가 미만",IF(M21=U21,"실제 낙찰가 동액","실제 낙찰가 초과")),"")</f>
        <v/>
      </c>
      <c r="AB21" s="7">
        <f>IF(AND(ISNUMBER(M21),M21&gt;0,ISNUMBER(R21)),IF(M21&lt;R21,"상한가 미만",IF(M21=R21,"상한가 동액","상한가 초과")),"")</f>
        <v/>
      </c>
      <c r="AC21" s="3" t="n"/>
      <c r="AD21" s="7">
        <f>IF(COUNTA(A21:Q21,S21:V21,AC21)=0,"",IF(OR(A21="",B21="",C21="",NOT(ISNUMBER(G21))),"식별값 확인",IF(COUNTIFS(A$2:A$301,A21,B$2:B$301,B21,C$2:C$301,C21,G$2:G$301,G21)&gt;1,"중복 회차",IF(AND(ISNUMBER(K21),K21&gt;G21),"기일 후 예측",IF(AND(T21="낙찰",W21=""),"평가 입력 확인","")))))</f>
        <v/>
      </c>
    </row>
    <row r="22">
      <c r="A22" s="2" t="n"/>
      <c r="B22" s="2" t="n"/>
      <c r="C22" s="2" t="n"/>
      <c r="D22" s="2" t="n"/>
      <c r="E22" s="2" t="n"/>
      <c r="F22" s="2" t="n"/>
      <c r="G22" s="4" t="n"/>
      <c r="H22" s="5" t="n"/>
      <c r="I22" s="5" t="n"/>
      <c r="J22" s="2" t="n"/>
      <c r="K22" s="4" t="n"/>
      <c r="L22" s="5" t="n"/>
      <c r="M22" s="5" t="n"/>
      <c r="N22" s="2" t="n"/>
      <c r="O22" s="5" t="n"/>
      <c r="P22" s="5" t="n"/>
      <c r="Q22" s="5" t="n"/>
      <c r="R22" s="6">
        <f>IF(COUNT(O22:Q22)=3,O22-P22-Q22,"")</f>
        <v/>
      </c>
      <c r="S22" s="2" t="n"/>
      <c r="T22" s="2" t="n"/>
      <c r="U22" s="5" t="n"/>
      <c r="V22" s="2" t="n"/>
      <c r="W22" s="7">
        <f>IF(AND(A22&lt;&gt;"",B22&lt;&gt;"",C22&lt;&gt;"",ISNUMBER(G22),ISNUMBER(K22),K22&lt;=G22,K22&gt;0,T22="낙찰",ISNUMBER(L22),L22&gt;0,ISNUMBER(U22),U22&gt;0,COUNTIFS(A$2:A$301,A22,B$2:B$301,B22,C$2:C$301,C22,G$2:G$301,G22)=1),"평가 가능","")</f>
        <v/>
      </c>
      <c r="X22" s="8">
        <f>IF(W22="평가 가능",(L22-U22)/U22,"")</f>
        <v/>
      </c>
      <c r="Y22" s="8">
        <f>IF(W22="평가 가능",ABS(X22),"")</f>
        <v/>
      </c>
      <c r="Z22" s="7">
        <f>IF(AND(ISNUMBER(M22),M22&gt;0,ISNUMBER(I22)),IF(M22&lt;I22,"최저가 미달",IF(M22=I22,"최저가 동액","최저가 초과")),"")</f>
        <v/>
      </c>
      <c r="AA22" s="7">
        <f>IF(AND(T22="낙찰",ISNUMBER(M22),M22&gt;0,ISNUMBER(U22)),IF(M22&lt;U22,"실제 낙찰가 미만",IF(M22=U22,"실제 낙찰가 동액","실제 낙찰가 초과")),"")</f>
        <v/>
      </c>
      <c r="AB22" s="7">
        <f>IF(AND(ISNUMBER(M22),M22&gt;0,ISNUMBER(R22)),IF(M22&lt;R22,"상한가 미만",IF(M22=R22,"상한가 동액","상한가 초과")),"")</f>
        <v/>
      </c>
      <c r="AC22" s="2" t="n"/>
      <c r="AD22" s="7">
        <f>IF(COUNTA(A22:Q22,S22:V22,AC22)=0,"",IF(OR(A22="",B22="",C22="",NOT(ISNUMBER(G22))),"식별값 확인",IF(COUNTIFS(A$2:A$301,A22,B$2:B$301,B22,C$2:C$301,C22,G$2:G$301,G22)&gt;1,"중복 회차",IF(AND(ISNUMBER(K22),K22&gt;G22),"기일 후 예측",IF(AND(T22="낙찰",W22=""),"평가 입력 확인","")))))</f>
        <v/>
      </c>
    </row>
    <row r="23">
      <c r="A23" s="3" t="n"/>
      <c r="B23" s="3" t="n"/>
      <c r="C23" s="3" t="n"/>
      <c r="D23" s="3" t="n"/>
      <c r="E23" s="3" t="n"/>
      <c r="F23" s="3" t="n"/>
      <c r="G23" s="9" t="n"/>
      <c r="H23" s="10" t="n"/>
      <c r="I23" s="10" t="n"/>
      <c r="J23" s="3" t="n"/>
      <c r="K23" s="9" t="n"/>
      <c r="L23" s="10" t="n"/>
      <c r="M23" s="10" t="n"/>
      <c r="N23" s="3" t="n"/>
      <c r="O23" s="10" t="n"/>
      <c r="P23" s="10" t="n"/>
      <c r="Q23" s="10" t="n"/>
      <c r="R23" s="6">
        <f>IF(COUNT(O23:Q23)=3,O23-P23-Q23,"")</f>
        <v/>
      </c>
      <c r="S23" s="3" t="n"/>
      <c r="T23" s="3" t="n"/>
      <c r="U23" s="10" t="n"/>
      <c r="V23" s="3" t="n"/>
      <c r="W23" s="7">
        <f>IF(AND(A23&lt;&gt;"",B23&lt;&gt;"",C23&lt;&gt;"",ISNUMBER(G23),ISNUMBER(K23),K23&lt;=G23,K23&gt;0,T23="낙찰",ISNUMBER(L23),L23&gt;0,ISNUMBER(U23),U23&gt;0,COUNTIFS(A$2:A$301,A23,B$2:B$301,B23,C$2:C$301,C23,G$2:G$301,G23)=1),"평가 가능","")</f>
        <v/>
      </c>
      <c r="X23" s="8">
        <f>IF(W23="평가 가능",(L23-U23)/U23,"")</f>
        <v/>
      </c>
      <c r="Y23" s="8">
        <f>IF(W23="평가 가능",ABS(X23),"")</f>
        <v/>
      </c>
      <c r="Z23" s="7">
        <f>IF(AND(ISNUMBER(M23),M23&gt;0,ISNUMBER(I23)),IF(M23&lt;I23,"최저가 미달",IF(M23=I23,"최저가 동액","최저가 초과")),"")</f>
        <v/>
      </c>
      <c r="AA23" s="7">
        <f>IF(AND(T23="낙찰",ISNUMBER(M23),M23&gt;0,ISNUMBER(U23)),IF(M23&lt;U23,"실제 낙찰가 미만",IF(M23=U23,"실제 낙찰가 동액","실제 낙찰가 초과")),"")</f>
        <v/>
      </c>
      <c r="AB23" s="7">
        <f>IF(AND(ISNUMBER(M23),M23&gt;0,ISNUMBER(R23)),IF(M23&lt;R23,"상한가 미만",IF(M23=R23,"상한가 동액","상한가 초과")),"")</f>
        <v/>
      </c>
      <c r="AC23" s="3" t="n"/>
      <c r="AD23" s="7">
        <f>IF(COUNTA(A23:Q23,S23:V23,AC23)=0,"",IF(OR(A23="",B23="",C23="",NOT(ISNUMBER(G23))),"식별값 확인",IF(COUNTIFS(A$2:A$301,A23,B$2:B$301,B23,C$2:C$301,C23,G$2:G$301,G23)&gt;1,"중복 회차",IF(AND(ISNUMBER(K23),K23&gt;G23),"기일 후 예측",IF(AND(T23="낙찰",W23=""),"평가 입력 확인","")))))</f>
        <v/>
      </c>
    </row>
    <row r="24">
      <c r="A24" s="2" t="n"/>
      <c r="B24" s="2" t="n"/>
      <c r="C24" s="2" t="n"/>
      <c r="D24" s="2" t="n"/>
      <c r="E24" s="2" t="n"/>
      <c r="F24" s="2" t="n"/>
      <c r="G24" s="4" t="n"/>
      <c r="H24" s="5" t="n"/>
      <c r="I24" s="5" t="n"/>
      <c r="J24" s="2" t="n"/>
      <c r="K24" s="4" t="n"/>
      <c r="L24" s="5" t="n"/>
      <c r="M24" s="5" t="n"/>
      <c r="N24" s="2" t="n"/>
      <c r="O24" s="5" t="n"/>
      <c r="P24" s="5" t="n"/>
      <c r="Q24" s="5" t="n"/>
      <c r="R24" s="6">
        <f>IF(COUNT(O24:Q24)=3,O24-P24-Q24,"")</f>
        <v/>
      </c>
      <c r="S24" s="2" t="n"/>
      <c r="T24" s="2" t="n"/>
      <c r="U24" s="5" t="n"/>
      <c r="V24" s="2" t="n"/>
      <c r="W24" s="7">
        <f>IF(AND(A24&lt;&gt;"",B24&lt;&gt;"",C24&lt;&gt;"",ISNUMBER(G24),ISNUMBER(K24),K24&lt;=G24,K24&gt;0,T24="낙찰",ISNUMBER(L24),L24&gt;0,ISNUMBER(U24),U24&gt;0,COUNTIFS(A$2:A$301,A24,B$2:B$301,B24,C$2:C$301,C24,G$2:G$301,G24)=1),"평가 가능","")</f>
        <v/>
      </c>
      <c r="X24" s="8">
        <f>IF(W24="평가 가능",(L24-U24)/U24,"")</f>
        <v/>
      </c>
      <c r="Y24" s="8">
        <f>IF(W24="평가 가능",ABS(X24),"")</f>
        <v/>
      </c>
      <c r="Z24" s="7">
        <f>IF(AND(ISNUMBER(M24),M24&gt;0,ISNUMBER(I24)),IF(M24&lt;I24,"최저가 미달",IF(M24=I24,"최저가 동액","최저가 초과")),"")</f>
        <v/>
      </c>
      <c r="AA24" s="7">
        <f>IF(AND(T24="낙찰",ISNUMBER(M24),M24&gt;0,ISNUMBER(U24)),IF(M24&lt;U24,"실제 낙찰가 미만",IF(M24=U24,"실제 낙찰가 동액","실제 낙찰가 초과")),"")</f>
        <v/>
      </c>
      <c r="AB24" s="7">
        <f>IF(AND(ISNUMBER(M24),M24&gt;0,ISNUMBER(R24)),IF(M24&lt;R24,"상한가 미만",IF(M24=R24,"상한가 동액","상한가 초과")),"")</f>
        <v/>
      </c>
      <c r="AC24" s="2" t="n"/>
      <c r="AD24" s="7">
        <f>IF(COUNTA(A24:Q24,S24:V24,AC24)=0,"",IF(OR(A24="",B24="",C24="",NOT(ISNUMBER(G24))),"식별값 확인",IF(COUNTIFS(A$2:A$301,A24,B$2:B$301,B24,C$2:C$301,C24,G$2:G$301,G24)&gt;1,"중복 회차",IF(AND(ISNUMBER(K24),K24&gt;G24),"기일 후 예측",IF(AND(T24="낙찰",W24=""),"평가 입력 확인","")))))</f>
        <v/>
      </c>
    </row>
    <row r="25">
      <c r="A25" s="3" t="n"/>
      <c r="B25" s="3" t="n"/>
      <c r="C25" s="3" t="n"/>
      <c r="D25" s="3" t="n"/>
      <c r="E25" s="3" t="n"/>
      <c r="F25" s="3" t="n"/>
      <c r="G25" s="9" t="n"/>
      <c r="H25" s="10" t="n"/>
      <c r="I25" s="10" t="n"/>
      <c r="J25" s="3" t="n"/>
      <c r="K25" s="9" t="n"/>
      <c r="L25" s="10" t="n"/>
      <c r="M25" s="10" t="n"/>
      <c r="N25" s="3" t="n"/>
      <c r="O25" s="10" t="n"/>
      <c r="P25" s="10" t="n"/>
      <c r="Q25" s="10" t="n"/>
      <c r="R25" s="6">
        <f>IF(COUNT(O25:Q25)=3,O25-P25-Q25,"")</f>
        <v/>
      </c>
      <c r="S25" s="3" t="n"/>
      <c r="T25" s="3" t="n"/>
      <c r="U25" s="10" t="n"/>
      <c r="V25" s="3" t="n"/>
      <c r="W25" s="7">
        <f>IF(AND(A25&lt;&gt;"",B25&lt;&gt;"",C25&lt;&gt;"",ISNUMBER(G25),ISNUMBER(K25),K25&lt;=G25,K25&gt;0,T25="낙찰",ISNUMBER(L25),L25&gt;0,ISNUMBER(U25),U25&gt;0,COUNTIFS(A$2:A$301,A25,B$2:B$301,B25,C$2:C$301,C25,G$2:G$301,G25)=1),"평가 가능","")</f>
        <v/>
      </c>
      <c r="X25" s="8">
        <f>IF(W25="평가 가능",(L25-U25)/U25,"")</f>
        <v/>
      </c>
      <c r="Y25" s="8">
        <f>IF(W25="평가 가능",ABS(X25),"")</f>
        <v/>
      </c>
      <c r="Z25" s="7">
        <f>IF(AND(ISNUMBER(M25),M25&gt;0,ISNUMBER(I25)),IF(M25&lt;I25,"최저가 미달",IF(M25=I25,"최저가 동액","최저가 초과")),"")</f>
        <v/>
      </c>
      <c r="AA25" s="7">
        <f>IF(AND(T25="낙찰",ISNUMBER(M25),M25&gt;0,ISNUMBER(U25)),IF(M25&lt;U25,"실제 낙찰가 미만",IF(M25=U25,"실제 낙찰가 동액","실제 낙찰가 초과")),"")</f>
        <v/>
      </c>
      <c r="AB25" s="7">
        <f>IF(AND(ISNUMBER(M25),M25&gt;0,ISNUMBER(R25)),IF(M25&lt;R25,"상한가 미만",IF(M25=R25,"상한가 동액","상한가 초과")),"")</f>
        <v/>
      </c>
      <c r="AC25" s="3" t="n"/>
      <c r="AD25" s="7">
        <f>IF(COUNTA(A25:Q25,S25:V25,AC25)=0,"",IF(OR(A25="",B25="",C25="",NOT(ISNUMBER(G25))),"식별값 확인",IF(COUNTIFS(A$2:A$301,A25,B$2:B$301,B25,C$2:C$301,C25,G$2:G$301,G25)&gt;1,"중복 회차",IF(AND(ISNUMBER(K25),K25&gt;G25),"기일 후 예측",IF(AND(T25="낙찰",W25=""),"평가 입력 확인","")))))</f>
        <v/>
      </c>
    </row>
    <row r="26">
      <c r="A26" s="2" t="n"/>
      <c r="B26" s="2" t="n"/>
      <c r="C26" s="2" t="n"/>
      <c r="D26" s="2" t="n"/>
      <c r="E26" s="2" t="n"/>
      <c r="F26" s="2" t="n"/>
      <c r="G26" s="4" t="n"/>
      <c r="H26" s="5" t="n"/>
      <c r="I26" s="5" t="n"/>
      <c r="J26" s="2" t="n"/>
      <c r="K26" s="4" t="n"/>
      <c r="L26" s="5" t="n"/>
      <c r="M26" s="5" t="n"/>
      <c r="N26" s="2" t="n"/>
      <c r="O26" s="5" t="n"/>
      <c r="P26" s="5" t="n"/>
      <c r="Q26" s="5" t="n"/>
      <c r="R26" s="6">
        <f>IF(COUNT(O26:Q26)=3,O26-P26-Q26,"")</f>
        <v/>
      </c>
      <c r="S26" s="2" t="n"/>
      <c r="T26" s="2" t="n"/>
      <c r="U26" s="5" t="n"/>
      <c r="V26" s="2" t="n"/>
      <c r="W26" s="7">
        <f>IF(AND(A26&lt;&gt;"",B26&lt;&gt;"",C26&lt;&gt;"",ISNUMBER(G26),ISNUMBER(K26),K26&lt;=G26,K26&gt;0,T26="낙찰",ISNUMBER(L26),L26&gt;0,ISNUMBER(U26),U26&gt;0,COUNTIFS(A$2:A$301,A26,B$2:B$301,B26,C$2:C$301,C26,G$2:G$301,G26)=1),"평가 가능","")</f>
        <v/>
      </c>
      <c r="X26" s="8">
        <f>IF(W26="평가 가능",(L26-U26)/U26,"")</f>
        <v/>
      </c>
      <c r="Y26" s="8">
        <f>IF(W26="평가 가능",ABS(X26),"")</f>
        <v/>
      </c>
      <c r="Z26" s="7">
        <f>IF(AND(ISNUMBER(M26),M26&gt;0,ISNUMBER(I26)),IF(M26&lt;I26,"최저가 미달",IF(M26=I26,"최저가 동액","최저가 초과")),"")</f>
        <v/>
      </c>
      <c r="AA26" s="7">
        <f>IF(AND(T26="낙찰",ISNUMBER(M26),M26&gt;0,ISNUMBER(U26)),IF(M26&lt;U26,"실제 낙찰가 미만",IF(M26=U26,"실제 낙찰가 동액","실제 낙찰가 초과")),"")</f>
        <v/>
      </c>
      <c r="AB26" s="7">
        <f>IF(AND(ISNUMBER(M26),M26&gt;0,ISNUMBER(R26)),IF(M26&lt;R26,"상한가 미만",IF(M26=R26,"상한가 동액","상한가 초과")),"")</f>
        <v/>
      </c>
      <c r="AC26" s="2" t="n"/>
      <c r="AD26" s="7">
        <f>IF(COUNTA(A26:Q26,S26:V26,AC26)=0,"",IF(OR(A26="",B26="",C26="",NOT(ISNUMBER(G26))),"식별값 확인",IF(COUNTIFS(A$2:A$301,A26,B$2:B$301,B26,C$2:C$301,C26,G$2:G$301,G26)&gt;1,"중복 회차",IF(AND(ISNUMBER(K26),K26&gt;G26),"기일 후 예측",IF(AND(T26="낙찰",W26=""),"평가 입력 확인","")))))</f>
        <v/>
      </c>
    </row>
    <row r="27">
      <c r="A27" s="3" t="n"/>
      <c r="B27" s="3" t="n"/>
      <c r="C27" s="3" t="n"/>
      <c r="D27" s="3" t="n"/>
      <c r="E27" s="3" t="n"/>
      <c r="F27" s="3" t="n"/>
      <c r="G27" s="9" t="n"/>
      <c r="H27" s="10" t="n"/>
      <c r="I27" s="10" t="n"/>
      <c r="J27" s="3" t="n"/>
      <c r="K27" s="9" t="n"/>
      <c r="L27" s="10" t="n"/>
      <c r="M27" s="10" t="n"/>
      <c r="N27" s="3" t="n"/>
      <c r="O27" s="10" t="n"/>
      <c r="P27" s="10" t="n"/>
      <c r="Q27" s="10" t="n"/>
      <c r="R27" s="6">
        <f>IF(COUNT(O27:Q27)=3,O27-P27-Q27,"")</f>
        <v/>
      </c>
      <c r="S27" s="3" t="n"/>
      <c r="T27" s="3" t="n"/>
      <c r="U27" s="10" t="n"/>
      <c r="V27" s="3" t="n"/>
      <c r="W27" s="7">
        <f>IF(AND(A27&lt;&gt;"",B27&lt;&gt;"",C27&lt;&gt;"",ISNUMBER(G27),ISNUMBER(K27),K27&lt;=G27,K27&gt;0,T27="낙찰",ISNUMBER(L27),L27&gt;0,ISNUMBER(U27),U27&gt;0,COUNTIFS(A$2:A$301,A27,B$2:B$301,B27,C$2:C$301,C27,G$2:G$301,G27)=1),"평가 가능","")</f>
        <v/>
      </c>
      <c r="X27" s="8">
        <f>IF(W27="평가 가능",(L27-U27)/U27,"")</f>
        <v/>
      </c>
      <c r="Y27" s="8">
        <f>IF(W27="평가 가능",ABS(X27),"")</f>
        <v/>
      </c>
      <c r="Z27" s="7">
        <f>IF(AND(ISNUMBER(M27),M27&gt;0,ISNUMBER(I27)),IF(M27&lt;I27,"최저가 미달",IF(M27=I27,"최저가 동액","최저가 초과")),"")</f>
        <v/>
      </c>
      <c r="AA27" s="7">
        <f>IF(AND(T27="낙찰",ISNUMBER(M27),M27&gt;0,ISNUMBER(U27)),IF(M27&lt;U27,"실제 낙찰가 미만",IF(M27=U27,"실제 낙찰가 동액","실제 낙찰가 초과")),"")</f>
        <v/>
      </c>
      <c r="AB27" s="7">
        <f>IF(AND(ISNUMBER(M27),M27&gt;0,ISNUMBER(R27)),IF(M27&lt;R27,"상한가 미만",IF(M27=R27,"상한가 동액","상한가 초과")),"")</f>
        <v/>
      </c>
      <c r="AC27" s="3" t="n"/>
      <c r="AD27" s="7">
        <f>IF(COUNTA(A27:Q27,S27:V27,AC27)=0,"",IF(OR(A27="",B27="",C27="",NOT(ISNUMBER(G27))),"식별값 확인",IF(COUNTIFS(A$2:A$301,A27,B$2:B$301,B27,C$2:C$301,C27,G$2:G$301,G27)&gt;1,"중복 회차",IF(AND(ISNUMBER(K27),K27&gt;G27),"기일 후 예측",IF(AND(T27="낙찰",W27=""),"평가 입력 확인","")))))</f>
        <v/>
      </c>
    </row>
    <row r="28">
      <c r="A28" s="2" t="n"/>
      <c r="B28" s="2" t="n"/>
      <c r="C28" s="2" t="n"/>
      <c r="D28" s="2" t="n"/>
      <c r="E28" s="2" t="n"/>
      <c r="F28" s="2" t="n"/>
      <c r="G28" s="4" t="n"/>
      <c r="H28" s="5" t="n"/>
      <c r="I28" s="5" t="n"/>
      <c r="J28" s="2" t="n"/>
      <c r="K28" s="4" t="n"/>
      <c r="L28" s="5" t="n"/>
      <c r="M28" s="5" t="n"/>
      <c r="N28" s="2" t="n"/>
      <c r="O28" s="5" t="n"/>
      <c r="P28" s="5" t="n"/>
      <c r="Q28" s="5" t="n"/>
      <c r="R28" s="6">
        <f>IF(COUNT(O28:Q28)=3,O28-P28-Q28,"")</f>
        <v/>
      </c>
      <c r="S28" s="2" t="n"/>
      <c r="T28" s="2" t="n"/>
      <c r="U28" s="5" t="n"/>
      <c r="V28" s="2" t="n"/>
      <c r="W28" s="7">
        <f>IF(AND(A28&lt;&gt;"",B28&lt;&gt;"",C28&lt;&gt;"",ISNUMBER(G28),ISNUMBER(K28),K28&lt;=G28,K28&gt;0,T28="낙찰",ISNUMBER(L28),L28&gt;0,ISNUMBER(U28),U28&gt;0,COUNTIFS(A$2:A$301,A28,B$2:B$301,B28,C$2:C$301,C28,G$2:G$301,G28)=1),"평가 가능","")</f>
        <v/>
      </c>
      <c r="X28" s="8">
        <f>IF(W28="평가 가능",(L28-U28)/U28,"")</f>
        <v/>
      </c>
      <c r="Y28" s="8">
        <f>IF(W28="평가 가능",ABS(X28),"")</f>
        <v/>
      </c>
      <c r="Z28" s="7">
        <f>IF(AND(ISNUMBER(M28),M28&gt;0,ISNUMBER(I28)),IF(M28&lt;I28,"최저가 미달",IF(M28=I28,"최저가 동액","최저가 초과")),"")</f>
        <v/>
      </c>
      <c r="AA28" s="7">
        <f>IF(AND(T28="낙찰",ISNUMBER(M28),M28&gt;0,ISNUMBER(U28)),IF(M28&lt;U28,"실제 낙찰가 미만",IF(M28=U28,"실제 낙찰가 동액","실제 낙찰가 초과")),"")</f>
        <v/>
      </c>
      <c r="AB28" s="7">
        <f>IF(AND(ISNUMBER(M28),M28&gt;0,ISNUMBER(R28)),IF(M28&lt;R28,"상한가 미만",IF(M28=R28,"상한가 동액","상한가 초과")),"")</f>
        <v/>
      </c>
      <c r="AC28" s="2" t="n"/>
      <c r="AD28" s="7">
        <f>IF(COUNTA(A28:Q28,S28:V28,AC28)=0,"",IF(OR(A28="",B28="",C28="",NOT(ISNUMBER(G28))),"식별값 확인",IF(COUNTIFS(A$2:A$301,A28,B$2:B$301,B28,C$2:C$301,C28,G$2:G$301,G28)&gt;1,"중복 회차",IF(AND(ISNUMBER(K28),K28&gt;G28),"기일 후 예측",IF(AND(T28="낙찰",W28=""),"평가 입력 확인","")))))</f>
        <v/>
      </c>
    </row>
    <row r="29">
      <c r="A29" s="3" t="n"/>
      <c r="B29" s="3" t="n"/>
      <c r="C29" s="3" t="n"/>
      <c r="D29" s="3" t="n"/>
      <c r="E29" s="3" t="n"/>
      <c r="F29" s="3" t="n"/>
      <c r="G29" s="9" t="n"/>
      <c r="H29" s="10" t="n"/>
      <c r="I29" s="10" t="n"/>
      <c r="J29" s="3" t="n"/>
      <c r="K29" s="9" t="n"/>
      <c r="L29" s="10" t="n"/>
      <c r="M29" s="10" t="n"/>
      <c r="N29" s="3" t="n"/>
      <c r="O29" s="10" t="n"/>
      <c r="P29" s="10" t="n"/>
      <c r="Q29" s="10" t="n"/>
      <c r="R29" s="6">
        <f>IF(COUNT(O29:Q29)=3,O29-P29-Q29,"")</f>
        <v/>
      </c>
      <c r="S29" s="3" t="n"/>
      <c r="T29" s="3" t="n"/>
      <c r="U29" s="10" t="n"/>
      <c r="V29" s="3" t="n"/>
      <c r="W29" s="7">
        <f>IF(AND(A29&lt;&gt;"",B29&lt;&gt;"",C29&lt;&gt;"",ISNUMBER(G29),ISNUMBER(K29),K29&lt;=G29,K29&gt;0,T29="낙찰",ISNUMBER(L29),L29&gt;0,ISNUMBER(U29),U29&gt;0,COUNTIFS(A$2:A$301,A29,B$2:B$301,B29,C$2:C$301,C29,G$2:G$301,G29)=1),"평가 가능","")</f>
        <v/>
      </c>
      <c r="X29" s="8">
        <f>IF(W29="평가 가능",(L29-U29)/U29,"")</f>
        <v/>
      </c>
      <c r="Y29" s="8">
        <f>IF(W29="평가 가능",ABS(X29),"")</f>
        <v/>
      </c>
      <c r="Z29" s="7">
        <f>IF(AND(ISNUMBER(M29),M29&gt;0,ISNUMBER(I29)),IF(M29&lt;I29,"최저가 미달",IF(M29=I29,"최저가 동액","최저가 초과")),"")</f>
        <v/>
      </c>
      <c r="AA29" s="7">
        <f>IF(AND(T29="낙찰",ISNUMBER(M29),M29&gt;0,ISNUMBER(U29)),IF(M29&lt;U29,"실제 낙찰가 미만",IF(M29=U29,"실제 낙찰가 동액","실제 낙찰가 초과")),"")</f>
        <v/>
      </c>
      <c r="AB29" s="7">
        <f>IF(AND(ISNUMBER(M29),M29&gt;0,ISNUMBER(R29)),IF(M29&lt;R29,"상한가 미만",IF(M29=R29,"상한가 동액","상한가 초과")),"")</f>
        <v/>
      </c>
      <c r="AC29" s="3" t="n"/>
      <c r="AD29" s="7">
        <f>IF(COUNTA(A29:Q29,S29:V29,AC29)=0,"",IF(OR(A29="",B29="",C29="",NOT(ISNUMBER(G29))),"식별값 확인",IF(COUNTIFS(A$2:A$301,A29,B$2:B$301,B29,C$2:C$301,C29,G$2:G$301,G29)&gt;1,"중복 회차",IF(AND(ISNUMBER(K29),K29&gt;G29),"기일 후 예측",IF(AND(T29="낙찰",W29=""),"평가 입력 확인","")))))</f>
        <v/>
      </c>
    </row>
    <row r="30">
      <c r="A30" s="2" t="n"/>
      <c r="B30" s="2" t="n"/>
      <c r="C30" s="2" t="n"/>
      <c r="D30" s="2" t="n"/>
      <c r="E30" s="2" t="n"/>
      <c r="F30" s="2" t="n"/>
      <c r="G30" s="4" t="n"/>
      <c r="H30" s="5" t="n"/>
      <c r="I30" s="5" t="n"/>
      <c r="J30" s="2" t="n"/>
      <c r="K30" s="4" t="n"/>
      <c r="L30" s="5" t="n"/>
      <c r="M30" s="5" t="n"/>
      <c r="N30" s="2" t="n"/>
      <c r="O30" s="5" t="n"/>
      <c r="P30" s="5" t="n"/>
      <c r="Q30" s="5" t="n"/>
      <c r="R30" s="6">
        <f>IF(COUNT(O30:Q30)=3,O30-P30-Q30,"")</f>
        <v/>
      </c>
      <c r="S30" s="2" t="n"/>
      <c r="T30" s="2" t="n"/>
      <c r="U30" s="5" t="n"/>
      <c r="V30" s="2" t="n"/>
      <c r="W30" s="7">
        <f>IF(AND(A30&lt;&gt;"",B30&lt;&gt;"",C30&lt;&gt;"",ISNUMBER(G30),ISNUMBER(K30),K30&lt;=G30,K30&gt;0,T30="낙찰",ISNUMBER(L30),L30&gt;0,ISNUMBER(U30),U30&gt;0,COUNTIFS(A$2:A$301,A30,B$2:B$301,B30,C$2:C$301,C30,G$2:G$301,G30)=1),"평가 가능","")</f>
        <v/>
      </c>
      <c r="X30" s="8">
        <f>IF(W30="평가 가능",(L30-U30)/U30,"")</f>
        <v/>
      </c>
      <c r="Y30" s="8">
        <f>IF(W30="평가 가능",ABS(X30),"")</f>
        <v/>
      </c>
      <c r="Z30" s="7">
        <f>IF(AND(ISNUMBER(M30),M30&gt;0,ISNUMBER(I30)),IF(M30&lt;I30,"최저가 미달",IF(M30=I30,"최저가 동액","최저가 초과")),"")</f>
        <v/>
      </c>
      <c r="AA30" s="7">
        <f>IF(AND(T30="낙찰",ISNUMBER(M30),M30&gt;0,ISNUMBER(U30)),IF(M30&lt;U30,"실제 낙찰가 미만",IF(M30=U30,"실제 낙찰가 동액","실제 낙찰가 초과")),"")</f>
        <v/>
      </c>
      <c r="AB30" s="7">
        <f>IF(AND(ISNUMBER(M30),M30&gt;0,ISNUMBER(R30)),IF(M30&lt;R30,"상한가 미만",IF(M30=R30,"상한가 동액","상한가 초과")),"")</f>
        <v/>
      </c>
      <c r="AC30" s="2" t="n"/>
      <c r="AD30" s="7">
        <f>IF(COUNTA(A30:Q30,S30:V30,AC30)=0,"",IF(OR(A30="",B30="",C30="",NOT(ISNUMBER(G30))),"식별값 확인",IF(COUNTIFS(A$2:A$301,A30,B$2:B$301,B30,C$2:C$301,C30,G$2:G$301,G30)&gt;1,"중복 회차",IF(AND(ISNUMBER(K30),K30&gt;G30),"기일 후 예측",IF(AND(T30="낙찰",W30=""),"평가 입력 확인","")))))</f>
        <v/>
      </c>
    </row>
    <row r="31">
      <c r="A31" s="3" t="n"/>
      <c r="B31" s="3" t="n"/>
      <c r="C31" s="3" t="n"/>
      <c r="D31" s="3" t="n"/>
      <c r="E31" s="3" t="n"/>
      <c r="F31" s="3" t="n"/>
      <c r="G31" s="9" t="n"/>
      <c r="H31" s="10" t="n"/>
      <c r="I31" s="10" t="n"/>
      <c r="J31" s="3" t="n"/>
      <c r="K31" s="9" t="n"/>
      <c r="L31" s="10" t="n"/>
      <c r="M31" s="10" t="n"/>
      <c r="N31" s="3" t="n"/>
      <c r="O31" s="10" t="n"/>
      <c r="P31" s="10" t="n"/>
      <c r="Q31" s="10" t="n"/>
      <c r="R31" s="6">
        <f>IF(COUNT(O31:Q31)=3,O31-P31-Q31,"")</f>
        <v/>
      </c>
      <c r="S31" s="3" t="n"/>
      <c r="T31" s="3" t="n"/>
      <c r="U31" s="10" t="n"/>
      <c r="V31" s="3" t="n"/>
      <c r="W31" s="7">
        <f>IF(AND(A31&lt;&gt;"",B31&lt;&gt;"",C31&lt;&gt;"",ISNUMBER(G31),ISNUMBER(K31),K31&lt;=G31,K31&gt;0,T31="낙찰",ISNUMBER(L31),L31&gt;0,ISNUMBER(U31),U31&gt;0,COUNTIFS(A$2:A$301,A31,B$2:B$301,B31,C$2:C$301,C31,G$2:G$301,G31)=1),"평가 가능","")</f>
        <v/>
      </c>
      <c r="X31" s="8">
        <f>IF(W31="평가 가능",(L31-U31)/U31,"")</f>
        <v/>
      </c>
      <c r="Y31" s="8">
        <f>IF(W31="평가 가능",ABS(X31),"")</f>
        <v/>
      </c>
      <c r="Z31" s="7">
        <f>IF(AND(ISNUMBER(M31),M31&gt;0,ISNUMBER(I31)),IF(M31&lt;I31,"최저가 미달",IF(M31=I31,"최저가 동액","최저가 초과")),"")</f>
        <v/>
      </c>
      <c r="AA31" s="7">
        <f>IF(AND(T31="낙찰",ISNUMBER(M31),M31&gt;0,ISNUMBER(U31)),IF(M31&lt;U31,"실제 낙찰가 미만",IF(M31=U31,"실제 낙찰가 동액","실제 낙찰가 초과")),"")</f>
        <v/>
      </c>
      <c r="AB31" s="7">
        <f>IF(AND(ISNUMBER(M31),M31&gt;0,ISNUMBER(R31)),IF(M31&lt;R31,"상한가 미만",IF(M31=R31,"상한가 동액","상한가 초과")),"")</f>
        <v/>
      </c>
      <c r="AC31" s="3" t="n"/>
      <c r="AD31" s="7">
        <f>IF(COUNTA(A31:Q31,S31:V31,AC31)=0,"",IF(OR(A31="",B31="",C31="",NOT(ISNUMBER(G31))),"식별값 확인",IF(COUNTIFS(A$2:A$301,A31,B$2:B$301,B31,C$2:C$301,C31,G$2:G$301,G31)&gt;1,"중복 회차",IF(AND(ISNUMBER(K31),K31&gt;G31),"기일 후 예측",IF(AND(T31="낙찰",W31=""),"평가 입력 확인","")))))</f>
        <v/>
      </c>
    </row>
    <row r="32">
      <c r="A32" s="2" t="n"/>
      <c r="B32" s="2" t="n"/>
      <c r="C32" s="2" t="n"/>
      <c r="D32" s="2" t="n"/>
      <c r="E32" s="2" t="n"/>
      <c r="F32" s="2" t="n"/>
      <c r="G32" s="4" t="n"/>
      <c r="H32" s="5" t="n"/>
      <c r="I32" s="5" t="n"/>
      <c r="J32" s="2" t="n"/>
      <c r="K32" s="4" t="n"/>
      <c r="L32" s="5" t="n"/>
      <c r="M32" s="5" t="n"/>
      <c r="N32" s="2" t="n"/>
      <c r="O32" s="5" t="n"/>
      <c r="P32" s="5" t="n"/>
      <c r="Q32" s="5" t="n"/>
      <c r="R32" s="6">
        <f>IF(COUNT(O32:Q32)=3,O32-P32-Q32,"")</f>
        <v/>
      </c>
      <c r="S32" s="2" t="n"/>
      <c r="T32" s="2" t="n"/>
      <c r="U32" s="5" t="n"/>
      <c r="V32" s="2" t="n"/>
      <c r="W32" s="7">
        <f>IF(AND(A32&lt;&gt;"",B32&lt;&gt;"",C32&lt;&gt;"",ISNUMBER(G32),ISNUMBER(K32),K32&lt;=G32,K32&gt;0,T32="낙찰",ISNUMBER(L32),L32&gt;0,ISNUMBER(U32),U32&gt;0,COUNTIFS(A$2:A$301,A32,B$2:B$301,B32,C$2:C$301,C32,G$2:G$301,G32)=1),"평가 가능","")</f>
        <v/>
      </c>
      <c r="X32" s="8">
        <f>IF(W32="평가 가능",(L32-U32)/U32,"")</f>
        <v/>
      </c>
      <c r="Y32" s="8">
        <f>IF(W32="평가 가능",ABS(X32),"")</f>
        <v/>
      </c>
      <c r="Z32" s="7">
        <f>IF(AND(ISNUMBER(M32),M32&gt;0,ISNUMBER(I32)),IF(M32&lt;I32,"최저가 미달",IF(M32=I32,"최저가 동액","최저가 초과")),"")</f>
        <v/>
      </c>
      <c r="AA32" s="7">
        <f>IF(AND(T32="낙찰",ISNUMBER(M32),M32&gt;0,ISNUMBER(U32)),IF(M32&lt;U32,"실제 낙찰가 미만",IF(M32=U32,"실제 낙찰가 동액","실제 낙찰가 초과")),"")</f>
        <v/>
      </c>
      <c r="AB32" s="7">
        <f>IF(AND(ISNUMBER(M32),M32&gt;0,ISNUMBER(R32)),IF(M32&lt;R32,"상한가 미만",IF(M32=R32,"상한가 동액","상한가 초과")),"")</f>
        <v/>
      </c>
      <c r="AC32" s="2" t="n"/>
      <c r="AD32" s="7">
        <f>IF(COUNTA(A32:Q32,S32:V32,AC32)=0,"",IF(OR(A32="",B32="",C32="",NOT(ISNUMBER(G32))),"식별값 확인",IF(COUNTIFS(A$2:A$301,A32,B$2:B$301,B32,C$2:C$301,C32,G$2:G$301,G32)&gt;1,"중복 회차",IF(AND(ISNUMBER(K32),K32&gt;G32),"기일 후 예측",IF(AND(T32="낙찰",W32=""),"평가 입력 확인","")))))</f>
        <v/>
      </c>
    </row>
    <row r="33">
      <c r="A33" s="3" t="n"/>
      <c r="B33" s="3" t="n"/>
      <c r="C33" s="3" t="n"/>
      <c r="D33" s="3" t="n"/>
      <c r="E33" s="3" t="n"/>
      <c r="F33" s="3" t="n"/>
      <c r="G33" s="9" t="n"/>
      <c r="H33" s="10" t="n"/>
      <c r="I33" s="10" t="n"/>
      <c r="J33" s="3" t="n"/>
      <c r="K33" s="9" t="n"/>
      <c r="L33" s="10" t="n"/>
      <c r="M33" s="10" t="n"/>
      <c r="N33" s="3" t="n"/>
      <c r="O33" s="10" t="n"/>
      <c r="P33" s="10" t="n"/>
      <c r="Q33" s="10" t="n"/>
      <c r="R33" s="6">
        <f>IF(COUNT(O33:Q33)=3,O33-P33-Q33,"")</f>
        <v/>
      </c>
      <c r="S33" s="3" t="n"/>
      <c r="T33" s="3" t="n"/>
      <c r="U33" s="10" t="n"/>
      <c r="V33" s="3" t="n"/>
      <c r="W33" s="7">
        <f>IF(AND(A33&lt;&gt;"",B33&lt;&gt;"",C33&lt;&gt;"",ISNUMBER(G33),ISNUMBER(K33),K33&lt;=G33,K33&gt;0,T33="낙찰",ISNUMBER(L33),L33&gt;0,ISNUMBER(U33),U33&gt;0,COUNTIFS(A$2:A$301,A33,B$2:B$301,B33,C$2:C$301,C33,G$2:G$301,G33)=1),"평가 가능","")</f>
        <v/>
      </c>
      <c r="X33" s="8">
        <f>IF(W33="평가 가능",(L33-U33)/U33,"")</f>
        <v/>
      </c>
      <c r="Y33" s="8">
        <f>IF(W33="평가 가능",ABS(X33),"")</f>
        <v/>
      </c>
      <c r="Z33" s="7">
        <f>IF(AND(ISNUMBER(M33),M33&gt;0,ISNUMBER(I33)),IF(M33&lt;I33,"최저가 미달",IF(M33=I33,"최저가 동액","최저가 초과")),"")</f>
        <v/>
      </c>
      <c r="AA33" s="7">
        <f>IF(AND(T33="낙찰",ISNUMBER(M33),M33&gt;0,ISNUMBER(U33)),IF(M33&lt;U33,"실제 낙찰가 미만",IF(M33=U33,"실제 낙찰가 동액","실제 낙찰가 초과")),"")</f>
        <v/>
      </c>
      <c r="AB33" s="7">
        <f>IF(AND(ISNUMBER(M33),M33&gt;0,ISNUMBER(R33)),IF(M33&lt;R33,"상한가 미만",IF(M33=R33,"상한가 동액","상한가 초과")),"")</f>
        <v/>
      </c>
      <c r="AC33" s="3" t="n"/>
      <c r="AD33" s="7">
        <f>IF(COUNTA(A33:Q33,S33:V33,AC33)=0,"",IF(OR(A33="",B33="",C33="",NOT(ISNUMBER(G33))),"식별값 확인",IF(COUNTIFS(A$2:A$301,A33,B$2:B$301,B33,C$2:C$301,C33,G$2:G$301,G33)&gt;1,"중복 회차",IF(AND(ISNUMBER(K33),K33&gt;G33),"기일 후 예측",IF(AND(T33="낙찰",W33=""),"평가 입력 확인","")))))</f>
        <v/>
      </c>
    </row>
    <row r="34">
      <c r="A34" s="2" t="n"/>
      <c r="B34" s="2" t="n"/>
      <c r="C34" s="2" t="n"/>
      <c r="D34" s="2" t="n"/>
      <c r="E34" s="2" t="n"/>
      <c r="F34" s="2" t="n"/>
      <c r="G34" s="4" t="n"/>
      <c r="H34" s="5" t="n"/>
      <c r="I34" s="5" t="n"/>
      <c r="J34" s="2" t="n"/>
      <c r="K34" s="4" t="n"/>
      <c r="L34" s="5" t="n"/>
      <c r="M34" s="5" t="n"/>
      <c r="N34" s="2" t="n"/>
      <c r="O34" s="5" t="n"/>
      <c r="P34" s="5" t="n"/>
      <c r="Q34" s="5" t="n"/>
      <c r="R34" s="6">
        <f>IF(COUNT(O34:Q34)=3,O34-P34-Q34,"")</f>
        <v/>
      </c>
      <c r="S34" s="2" t="n"/>
      <c r="T34" s="2" t="n"/>
      <c r="U34" s="5" t="n"/>
      <c r="V34" s="2" t="n"/>
      <c r="W34" s="7">
        <f>IF(AND(A34&lt;&gt;"",B34&lt;&gt;"",C34&lt;&gt;"",ISNUMBER(G34),ISNUMBER(K34),K34&lt;=G34,K34&gt;0,T34="낙찰",ISNUMBER(L34),L34&gt;0,ISNUMBER(U34),U34&gt;0,COUNTIFS(A$2:A$301,A34,B$2:B$301,B34,C$2:C$301,C34,G$2:G$301,G34)=1),"평가 가능","")</f>
        <v/>
      </c>
      <c r="X34" s="8">
        <f>IF(W34="평가 가능",(L34-U34)/U34,"")</f>
        <v/>
      </c>
      <c r="Y34" s="8">
        <f>IF(W34="평가 가능",ABS(X34),"")</f>
        <v/>
      </c>
      <c r="Z34" s="7">
        <f>IF(AND(ISNUMBER(M34),M34&gt;0,ISNUMBER(I34)),IF(M34&lt;I34,"최저가 미달",IF(M34=I34,"최저가 동액","최저가 초과")),"")</f>
        <v/>
      </c>
      <c r="AA34" s="7">
        <f>IF(AND(T34="낙찰",ISNUMBER(M34),M34&gt;0,ISNUMBER(U34)),IF(M34&lt;U34,"실제 낙찰가 미만",IF(M34=U34,"실제 낙찰가 동액","실제 낙찰가 초과")),"")</f>
        <v/>
      </c>
      <c r="AB34" s="7">
        <f>IF(AND(ISNUMBER(M34),M34&gt;0,ISNUMBER(R34)),IF(M34&lt;R34,"상한가 미만",IF(M34=R34,"상한가 동액","상한가 초과")),"")</f>
        <v/>
      </c>
      <c r="AC34" s="2" t="n"/>
      <c r="AD34" s="7">
        <f>IF(COUNTA(A34:Q34,S34:V34,AC34)=0,"",IF(OR(A34="",B34="",C34="",NOT(ISNUMBER(G34))),"식별값 확인",IF(COUNTIFS(A$2:A$301,A34,B$2:B$301,B34,C$2:C$301,C34,G$2:G$301,G34)&gt;1,"중복 회차",IF(AND(ISNUMBER(K34),K34&gt;G34),"기일 후 예측",IF(AND(T34="낙찰",W34=""),"평가 입력 확인","")))))</f>
        <v/>
      </c>
    </row>
    <row r="35">
      <c r="A35" s="3" t="n"/>
      <c r="B35" s="3" t="n"/>
      <c r="C35" s="3" t="n"/>
      <c r="D35" s="3" t="n"/>
      <c r="E35" s="3" t="n"/>
      <c r="F35" s="3" t="n"/>
      <c r="G35" s="9" t="n"/>
      <c r="H35" s="10" t="n"/>
      <c r="I35" s="10" t="n"/>
      <c r="J35" s="3" t="n"/>
      <c r="K35" s="9" t="n"/>
      <c r="L35" s="10" t="n"/>
      <c r="M35" s="10" t="n"/>
      <c r="N35" s="3" t="n"/>
      <c r="O35" s="10" t="n"/>
      <c r="P35" s="10" t="n"/>
      <c r="Q35" s="10" t="n"/>
      <c r="R35" s="6">
        <f>IF(COUNT(O35:Q35)=3,O35-P35-Q35,"")</f>
        <v/>
      </c>
      <c r="S35" s="3" t="n"/>
      <c r="T35" s="3" t="n"/>
      <c r="U35" s="10" t="n"/>
      <c r="V35" s="3" t="n"/>
      <c r="W35" s="7">
        <f>IF(AND(A35&lt;&gt;"",B35&lt;&gt;"",C35&lt;&gt;"",ISNUMBER(G35),ISNUMBER(K35),K35&lt;=G35,K35&gt;0,T35="낙찰",ISNUMBER(L35),L35&gt;0,ISNUMBER(U35),U35&gt;0,COUNTIFS(A$2:A$301,A35,B$2:B$301,B35,C$2:C$301,C35,G$2:G$301,G35)=1),"평가 가능","")</f>
        <v/>
      </c>
      <c r="X35" s="8">
        <f>IF(W35="평가 가능",(L35-U35)/U35,"")</f>
        <v/>
      </c>
      <c r="Y35" s="8">
        <f>IF(W35="평가 가능",ABS(X35),"")</f>
        <v/>
      </c>
      <c r="Z35" s="7">
        <f>IF(AND(ISNUMBER(M35),M35&gt;0,ISNUMBER(I35)),IF(M35&lt;I35,"최저가 미달",IF(M35=I35,"최저가 동액","최저가 초과")),"")</f>
        <v/>
      </c>
      <c r="AA35" s="7">
        <f>IF(AND(T35="낙찰",ISNUMBER(M35),M35&gt;0,ISNUMBER(U35)),IF(M35&lt;U35,"실제 낙찰가 미만",IF(M35=U35,"실제 낙찰가 동액","실제 낙찰가 초과")),"")</f>
        <v/>
      </c>
      <c r="AB35" s="7">
        <f>IF(AND(ISNUMBER(M35),M35&gt;0,ISNUMBER(R35)),IF(M35&lt;R35,"상한가 미만",IF(M35=R35,"상한가 동액","상한가 초과")),"")</f>
        <v/>
      </c>
      <c r="AC35" s="3" t="n"/>
      <c r="AD35" s="7">
        <f>IF(COUNTA(A35:Q35,S35:V35,AC35)=0,"",IF(OR(A35="",B35="",C35="",NOT(ISNUMBER(G35))),"식별값 확인",IF(COUNTIFS(A$2:A$301,A35,B$2:B$301,B35,C$2:C$301,C35,G$2:G$301,G35)&gt;1,"중복 회차",IF(AND(ISNUMBER(K35),K35&gt;G35),"기일 후 예측",IF(AND(T35="낙찰",W35=""),"평가 입력 확인","")))))</f>
        <v/>
      </c>
    </row>
    <row r="36">
      <c r="A36" s="2" t="n"/>
      <c r="B36" s="2" t="n"/>
      <c r="C36" s="2" t="n"/>
      <c r="D36" s="2" t="n"/>
      <c r="E36" s="2" t="n"/>
      <c r="F36" s="2" t="n"/>
      <c r="G36" s="4" t="n"/>
      <c r="H36" s="5" t="n"/>
      <c r="I36" s="5" t="n"/>
      <c r="J36" s="2" t="n"/>
      <c r="K36" s="4" t="n"/>
      <c r="L36" s="5" t="n"/>
      <c r="M36" s="5" t="n"/>
      <c r="N36" s="2" t="n"/>
      <c r="O36" s="5" t="n"/>
      <c r="P36" s="5" t="n"/>
      <c r="Q36" s="5" t="n"/>
      <c r="R36" s="6">
        <f>IF(COUNT(O36:Q36)=3,O36-P36-Q36,"")</f>
        <v/>
      </c>
      <c r="S36" s="2" t="n"/>
      <c r="T36" s="2" t="n"/>
      <c r="U36" s="5" t="n"/>
      <c r="V36" s="2" t="n"/>
      <c r="W36" s="7">
        <f>IF(AND(A36&lt;&gt;"",B36&lt;&gt;"",C36&lt;&gt;"",ISNUMBER(G36),ISNUMBER(K36),K36&lt;=G36,K36&gt;0,T36="낙찰",ISNUMBER(L36),L36&gt;0,ISNUMBER(U36),U36&gt;0,COUNTIFS(A$2:A$301,A36,B$2:B$301,B36,C$2:C$301,C36,G$2:G$301,G36)=1),"평가 가능","")</f>
        <v/>
      </c>
      <c r="X36" s="8">
        <f>IF(W36="평가 가능",(L36-U36)/U36,"")</f>
        <v/>
      </c>
      <c r="Y36" s="8">
        <f>IF(W36="평가 가능",ABS(X36),"")</f>
        <v/>
      </c>
      <c r="Z36" s="7">
        <f>IF(AND(ISNUMBER(M36),M36&gt;0,ISNUMBER(I36)),IF(M36&lt;I36,"최저가 미달",IF(M36=I36,"최저가 동액","최저가 초과")),"")</f>
        <v/>
      </c>
      <c r="AA36" s="7">
        <f>IF(AND(T36="낙찰",ISNUMBER(M36),M36&gt;0,ISNUMBER(U36)),IF(M36&lt;U36,"실제 낙찰가 미만",IF(M36=U36,"실제 낙찰가 동액","실제 낙찰가 초과")),"")</f>
        <v/>
      </c>
      <c r="AB36" s="7">
        <f>IF(AND(ISNUMBER(M36),M36&gt;0,ISNUMBER(R36)),IF(M36&lt;R36,"상한가 미만",IF(M36=R36,"상한가 동액","상한가 초과")),"")</f>
        <v/>
      </c>
      <c r="AC36" s="2" t="n"/>
      <c r="AD36" s="7">
        <f>IF(COUNTA(A36:Q36,S36:V36,AC36)=0,"",IF(OR(A36="",B36="",C36="",NOT(ISNUMBER(G36))),"식별값 확인",IF(COUNTIFS(A$2:A$301,A36,B$2:B$301,B36,C$2:C$301,C36,G$2:G$301,G36)&gt;1,"중복 회차",IF(AND(ISNUMBER(K36),K36&gt;G36),"기일 후 예측",IF(AND(T36="낙찰",W36=""),"평가 입력 확인","")))))</f>
        <v/>
      </c>
    </row>
    <row r="37">
      <c r="A37" s="3" t="n"/>
      <c r="B37" s="3" t="n"/>
      <c r="C37" s="3" t="n"/>
      <c r="D37" s="3" t="n"/>
      <c r="E37" s="3" t="n"/>
      <c r="F37" s="3" t="n"/>
      <c r="G37" s="9" t="n"/>
      <c r="H37" s="10" t="n"/>
      <c r="I37" s="10" t="n"/>
      <c r="J37" s="3" t="n"/>
      <c r="K37" s="9" t="n"/>
      <c r="L37" s="10" t="n"/>
      <c r="M37" s="10" t="n"/>
      <c r="N37" s="3" t="n"/>
      <c r="O37" s="10" t="n"/>
      <c r="P37" s="10" t="n"/>
      <c r="Q37" s="10" t="n"/>
      <c r="R37" s="6">
        <f>IF(COUNT(O37:Q37)=3,O37-P37-Q37,"")</f>
        <v/>
      </c>
      <c r="S37" s="3" t="n"/>
      <c r="T37" s="3" t="n"/>
      <c r="U37" s="10" t="n"/>
      <c r="V37" s="3" t="n"/>
      <c r="W37" s="7">
        <f>IF(AND(A37&lt;&gt;"",B37&lt;&gt;"",C37&lt;&gt;"",ISNUMBER(G37),ISNUMBER(K37),K37&lt;=G37,K37&gt;0,T37="낙찰",ISNUMBER(L37),L37&gt;0,ISNUMBER(U37),U37&gt;0,COUNTIFS(A$2:A$301,A37,B$2:B$301,B37,C$2:C$301,C37,G$2:G$301,G37)=1),"평가 가능","")</f>
        <v/>
      </c>
      <c r="X37" s="8">
        <f>IF(W37="평가 가능",(L37-U37)/U37,"")</f>
        <v/>
      </c>
      <c r="Y37" s="8">
        <f>IF(W37="평가 가능",ABS(X37),"")</f>
        <v/>
      </c>
      <c r="Z37" s="7">
        <f>IF(AND(ISNUMBER(M37),M37&gt;0,ISNUMBER(I37)),IF(M37&lt;I37,"최저가 미달",IF(M37=I37,"최저가 동액","최저가 초과")),"")</f>
        <v/>
      </c>
      <c r="AA37" s="7">
        <f>IF(AND(T37="낙찰",ISNUMBER(M37),M37&gt;0,ISNUMBER(U37)),IF(M37&lt;U37,"실제 낙찰가 미만",IF(M37=U37,"실제 낙찰가 동액","실제 낙찰가 초과")),"")</f>
        <v/>
      </c>
      <c r="AB37" s="7">
        <f>IF(AND(ISNUMBER(M37),M37&gt;0,ISNUMBER(R37)),IF(M37&lt;R37,"상한가 미만",IF(M37=R37,"상한가 동액","상한가 초과")),"")</f>
        <v/>
      </c>
      <c r="AC37" s="3" t="n"/>
      <c r="AD37" s="7">
        <f>IF(COUNTA(A37:Q37,S37:V37,AC37)=0,"",IF(OR(A37="",B37="",C37="",NOT(ISNUMBER(G37))),"식별값 확인",IF(COUNTIFS(A$2:A$301,A37,B$2:B$301,B37,C$2:C$301,C37,G$2:G$301,G37)&gt;1,"중복 회차",IF(AND(ISNUMBER(K37),K37&gt;G37),"기일 후 예측",IF(AND(T37="낙찰",W37=""),"평가 입력 확인","")))))</f>
        <v/>
      </c>
    </row>
    <row r="38">
      <c r="A38" s="2" t="n"/>
      <c r="B38" s="2" t="n"/>
      <c r="C38" s="2" t="n"/>
      <c r="D38" s="2" t="n"/>
      <c r="E38" s="2" t="n"/>
      <c r="F38" s="2" t="n"/>
      <c r="G38" s="4" t="n"/>
      <c r="H38" s="5" t="n"/>
      <c r="I38" s="5" t="n"/>
      <c r="J38" s="2" t="n"/>
      <c r="K38" s="4" t="n"/>
      <c r="L38" s="5" t="n"/>
      <c r="M38" s="5" t="n"/>
      <c r="N38" s="2" t="n"/>
      <c r="O38" s="5" t="n"/>
      <c r="P38" s="5" t="n"/>
      <c r="Q38" s="5" t="n"/>
      <c r="R38" s="6">
        <f>IF(COUNT(O38:Q38)=3,O38-P38-Q38,"")</f>
        <v/>
      </c>
      <c r="S38" s="2" t="n"/>
      <c r="T38" s="2" t="n"/>
      <c r="U38" s="5" t="n"/>
      <c r="V38" s="2" t="n"/>
      <c r="W38" s="7">
        <f>IF(AND(A38&lt;&gt;"",B38&lt;&gt;"",C38&lt;&gt;"",ISNUMBER(G38),ISNUMBER(K38),K38&lt;=G38,K38&gt;0,T38="낙찰",ISNUMBER(L38),L38&gt;0,ISNUMBER(U38),U38&gt;0,COUNTIFS(A$2:A$301,A38,B$2:B$301,B38,C$2:C$301,C38,G$2:G$301,G38)=1),"평가 가능","")</f>
        <v/>
      </c>
      <c r="X38" s="8">
        <f>IF(W38="평가 가능",(L38-U38)/U38,"")</f>
        <v/>
      </c>
      <c r="Y38" s="8">
        <f>IF(W38="평가 가능",ABS(X38),"")</f>
        <v/>
      </c>
      <c r="Z38" s="7">
        <f>IF(AND(ISNUMBER(M38),M38&gt;0,ISNUMBER(I38)),IF(M38&lt;I38,"최저가 미달",IF(M38=I38,"최저가 동액","최저가 초과")),"")</f>
        <v/>
      </c>
      <c r="AA38" s="7">
        <f>IF(AND(T38="낙찰",ISNUMBER(M38),M38&gt;0,ISNUMBER(U38)),IF(M38&lt;U38,"실제 낙찰가 미만",IF(M38=U38,"실제 낙찰가 동액","실제 낙찰가 초과")),"")</f>
        <v/>
      </c>
      <c r="AB38" s="7">
        <f>IF(AND(ISNUMBER(M38),M38&gt;0,ISNUMBER(R38)),IF(M38&lt;R38,"상한가 미만",IF(M38=R38,"상한가 동액","상한가 초과")),"")</f>
        <v/>
      </c>
      <c r="AC38" s="2" t="n"/>
      <c r="AD38" s="7">
        <f>IF(COUNTA(A38:Q38,S38:V38,AC38)=0,"",IF(OR(A38="",B38="",C38="",NOT(ISNUMBER(G38))),"식별값 확인",IF(COUNTIFS(A$2:A$301,A38,B$2:B$301,B38,C$2:C$301,C38,G$2:G$301,G38)&gt;1,"중복 회차",IF(AND(ISNUMBER(K38),K38&gt;G38),"기일 후 예측",IF(AND(T38="낙찰",W38=""),"평가 입력 확인","")))))</f>
        <v/>
      </c>
    </row>
    <row r="39">
      <c r="A39" s="3" t="n"/>
      <c r="B39" s="3" t="n"/>
      <c r="C39" s="3" t="n"/>
      <c r="D39" s="3" t="n"/>
      <c r="E39" s="3" t="n"/>
      <c r="F39" s="3" t="n"/>
      <c r="G39" s="9" t="n"/>
      <c r="H39" s="10" t="n"/>
      <c r="I39" s="10" t="n"/>
      <c r="J39" s="3" t="n"/>
      <c r="K39" s="9" t="n"/>
      <c r="L39" s="10" t="n"/>
      <c r="M39" s="10" t="n"/>
      <c r="N39" s="3" t="n"/>
      <c r="O39" s="10" t="n"/>
      <c r="P39" s="10" t="n"/>
      <c r="Q39" s="10" t="n"/>
      <c r="R39" s="6">
        <f>IF(COUNT(O39:Q39)=3,O39-P39-Q39,"")</f>
        <v/>
      </c>
      <c r="S39" s="3" t="n"/>
      <c r="T39" s="3" t="n"/>
      <c r="U39" s="10" t="n"/>
      <c r="V39" s="3" t="n"/>
      <c r="W39" s="7">
        <f>IF(AND(A39&lt;&gt;"",B39&lt;&gt;"",C39&lt;&gt;"",ISNUMBER(G39),ISNUMBER(K39),K39&lt;=G39,K39&gt;0,T39="낙찰",ISNUMBER(L39),L39&gt;0,ISNUMBER(U39),U39&gt;0,COUNTIFS(A$2:A$301,A39,B$2:B$301,B39,C$2:C$301,C39,G$2:G$301,G39)=1),"평가 가능","")</f>
        <v/>
      </c>
      <c r="X39" s="8">
        <f>IF(W39="평가 가능",(L39-U39)/U39,"")</f>
        <v/>
      </c>
      <c r="Y39" s="8">
        <f>IF(W39="평가 가능",ABS(X39),"")</f>
        <v/>
      </c>
      <c r="Z39" s="7">
        <f>IF(AND(ISNUMBER(M39),M39&gt;0,ISNUMBER(I39)),IF(M39&lt;I39,"최저가 미달",IF(M39=I39,"최저가 동액","최저가 초과")),"")</f>
        <v/>
      </c>
      <c r="AA39" s="7">
        <f>IF(AND(T39="낙찰",ISNUMBER(M39),M39&gt;0,ISNUMBER(U39)),IF(M39&lt;U39,"실제 낙찰가 미만",IF(M39=U39,"실제 낙찰가 동액","실제 낙찰가 초과")),"")</f>
        <v/>
      </c>
      <c r="AB39" s="7">
        <f>IF(AND(ISNUMBER(M39),M39&gt;0,ISNUMBER(R39)),IF(M39&lt;R39,"상한가 미만",IF(M39=R39,"상한가 동액","상한가 초과")),"")</f>
        <v/>
      </c>
      <c r="AC39" s="3" t="n"/>
      <c r="AD39" s="7">
        <f>IF(COUNTA(A39:Q39,S39:V39,AC39)=0,"",IF(OR(A39="",B39="",C39="",NOT(ISNUMBER(G39))),"식별값 확인",IF(COUNTIFS(A$2:A$301,A39,B$2:B$301,B39,C$2:C$301,C39,G$2:G$301,G39)&gt;1,"중복 회차",IF(AND(ISNUMBER(K39),K39&gt;G39),"기일 후 예측",IF(AND(T39="낙찰",W39=""),"평가 입력 확인","")))))</f>
        <v/>
      </c>
    </row>
    <row r="40">
      <c r="A40" s="2" t="n"/>
      <c r="B40" s="2" t="n"/>
      <c r="C40" s="2" t="n"/>
      <c r="D40" s="2" t="n"/>
      <c r="E40" s="2" t="n"/>
      <c r="F40" s="2" t="n"/>
      <c r="G40" s="4" t="n"/>
      <c r="H40" s="5" t="n"/>
      <c r="I40" s="5" t="n"/>
      <c r="J40" s="2" t="n"/>
      <c r="K40" s="4" t="n"/>
      <c r="L40" s="5" t="n"/>
      <c r="M40" s="5" t="n"/>
      <c r="N40" s="2" t="n"/>
      <c r="O40" s="5" t="n"/>
      <c r="P40" s="5" t="n"/>
      <c r="Q40" s="5" t="n"/>
      <c r="R40" s="6">
        <f>IF(COUNT(O40:Q40)=3,O40-P40-Q40,"")</f>
        <v/>
      </c>
      <c r="S40" s="2" t="n"/>
      <c r="T40" s="2" t="n"/>
      <c r="U40" s="5" t="n"/>
      <c r="V40" s="2" t="n"/>
      <c r="W40" s="7">
        <f>IF(AND(A40&lt;&gt;"",B40&lt;&gt;"",C40&lt;&gt;"",ISNUMBER(G40),ISNUMBER(K40),K40&lt;=G40,K40&gt;0,T40="낙찰",ISNUMBER(L40),L40&gt;0,ISNUMBER(U40),U40&gt;0,COUNTIFS(A$2:A$301,A40,B$2:B$301,B40,C$2:C$301,C40,G$2:G$301,G40)=1),"평가 가능","")</f>
        <v/>
      </c>
      <c r="X40" s="8">
        <f>IF(W40="평가 가능",(L40-U40)/U40,"")</f>
        <v/>
      </c>
      <c r="Y40" s="8">
        <f>IF(W40="평가 가능",ABS(X40),"")</f>
        <v/>
      </c>
      <c r="Z40" s="7">
        <f>IF(AND(ISNUMBER(M40),M40&gt;0,ISNUMBER(I40)),IF(M40&lt;I40,"최저가 미달",IF(M40=I40,"최저가 동액","최저가 초과")),"")</f>
        <v/>
      </c>
      <c r="AA40" s="7">
        <f>IF(AND(T40="낙찰",ISNUMBER(M40),M40&gt;0,ISNUMBER(U40)),IF(M40&lt;U40,"실제 낙찰가 미만",IF(M40=U40,"실제 낙찰가 동액","실제 낙찰가 초과")),"")</f>
        <v/>
      </c>
      <c r="AB40" s="7">
        <f>IF(AND(ISNUMBER(M40),M40&gt;0,ISNUMBER(R40)),IF(M40&lt;R40,"상한가 미만",IF(M40=R40,"상한가 동액","상한가 초과")),"")</f>
        <v/>
      </c>
      <c r="AC40" s="2" t="n"/>
      <c r="AD40" s="7">
        <f>IF(COUNTA(A40:Q40,S40:V40,AC40)=0,"",IF(OR(A40="",B40="",C40="",NOT(ISNUMBER(G40))),"식별값 확인",IF(COUNTIFS(A$2:A$301,A40,B$2:B$301,B40,C$2:C$301,C40,G$2:G$301,G40)&gt;1,"중복 회차",IF(AND(ISNUMBER(K40),K40&gt;G40),"기일 후 예측",IF(AND(T40="낙찰",W40=""),"평가 입력 확인","")))))</f>
        <v/>
      </c>
    </row>
    <row r="41">
      <c r="A41" s="3" t="n"/>
      <c r="B41" s="3" t="n"/>
      <c r="C41" s="3" t="n"/>
      <c r="D41" s="3" t="n"/>
      <c r="E41" s="3" t="n"/>
      <c r="F41" s="3" t="n"/>
      <c r="G41" s="9" t="n"/>
      <c r="H41" s="10" t="n"/>
      <c r="I41" s="10" t="n"/>
      <c r="J41" s="3" t="n"/>
      <c r="K41" s="9" t="n"/>
      <c r="L41" s="10" t="n"/>
      <c r="M41" s="10" t="n"/>
      <c r="N41" s="3" t="n"/>
      <c r="O41" s="10" t="n"/>
      <c r="P41" s="10" t="n"/>
      <c r="Q41" s="10" t="n"/>
      <c r="R41" s="6">
        <f>IF(COUNT(O41:Q41)=3,O41-P41-Q41,"")</f>
        <v/>
      </c>
      <c r="S41" s="3" t="n"/>
      <c r="T41" s="3" t="n"/>
      <c r="U41" s="10" t="n"/>
      <c r="V41" s="3" t="n"/>
      <c r="W41" s="7">
        <f>IF(AND(A41&lt;&gt;"",B41&lt;&gt;"",C41&lt;&gt;"",ISNUMBER(G41),ISNUMBER(K41),K41&lt;=G41,K41&gt;0,T41="낙찰",ISNUMBER(L41),L41&gt;0,ISNUMBER(U41),U41&gt;0,COUNTIFS(A$2:A$301,A41,B$2:B$301,B41,C$2:C$301,C41,G$2:G$301,G41)=1),"평가 가능","")</f>
        <v/>
      </c>
      <c r="X41" s="8">
        <f>IF(W41="평가 가능",(L41-U41)/U41,"")</f>
        <v/>
      </c>
      <c r="Y41" s="8">
        <f>IF(W41="평가 가능",ABS(X41),"")</f>
        <v/>
      </c>
      <c r="Z41" s="7">
        <f>IF(AND(ISNUMBER(M41),M41&gt;0,ISNUMBER(I41)),IF(M41&lt;I41,"최저가 미달",IF(M41=I41,"최저가 동액","최저가 초과")),"")</f>
        <v/>
      </c>
      <c r="AA41" s="7">
        <f>IF(AND(T41="낙찰",ISNUMBER(M41),M41&gt;0,ISNUMBER(U41)),IF(M41&lt;U41,"실제 낙찰가 미만",IF(M41=U41,"실제 낙찰가 동액","실제 낙찰가 초과")),"")</f>
        <v/>
      </c>
      <c r="AB41" s="7">
        <f>IF(AND(ISNUMBER(M41),M41&gt;0,ISNUMBER(R41)),IF(M41&lt;R41,"상한가 미만",IF(M41=R41,"상한가 동액","상한가 초과")),"")</f>
        <v/>
      </c>
      <c r="AC41" s="3" t="n"/>
      <c r="AD41" s="7">
        <f>IF(COUNTA(A41:Q41,S41:V41,AC41)=0,"",IF(OR(A41="",B41="",C41="",NOT(ISNUMBER(G41))),"식별값 확인",IF(COUNTIFS(A$2:A$301,A41,B$2:B$301,B41,C$2:C$301,C41,G$2:G$301,G41)&gt;1,"중복 회차",IF(AND(ISNUMBER(K41),K41&gt;G41),"기일 후 예측",IF(AND(T41="낙찰",W41=""),"평가 입력 확인","")))))</f>
        <v/>
      </c>
    </row>
    <row r="42">
      <c r="A42" s="2" t="n"/>
      <c r="B42" s="2" t="n"/>
      <c r="C42" s="2" t="n"/>
      <c r="D42" s="2" t="n"/>
      <c r="E42" s="2" t="n"/>
      <c r="F42" s="2" t="n"/>
      <c r="G42" s="4" t="n"/>
      <c r="H42" s="5" t="n"/>
      <c r="I42" s="5" t="n"/>
      <c r="J42" s="2" t="n"/>
      <c r="K42" s="4" t="n"/>
      <c r="L42" s="5" t="n"/>
      <c r="M42" s="5" t="n"/>
      <c r="N42" s="2" t="n"/>
      <c r="O42" s="5" t="n"/>
      <c r="P42" s="5" t="n"/>
      <c r="Q42" s="5" t="n"/>
      <c r="R42" s="6">
        <f>IF(COUNT(O42:Q42)=3,O42-P42-Q42,"")</f>
        <v/>
      </c>
      <c r="S42" s="2" t="n"/>
      <c r="T42" s="2" t="n"/>
      <c r="U42" s="5" t="n"/>
      <c r="V42" s="2" t="n"/>
      <c r="W42" s="7">
        <f>IF(AND(A42&lt;&gt;"",B42&lt;&gt;"",C42&lt;&gt;"",ISNUMBER(G42),ISNUMBER(K42),K42&lt;=G42,K42&gt;0,T42="낙찰",ISNUMBER(L42),L42&gt;0,ISNUMBER(U42),U42&gt;0,COUNTIFS(A$2:A$301,A42,B$2:B$301,B42,C$2:C$301,C42,G$2:G$301,G42)=1),"평가 가능","")</f>
        <v/>
      </c>
      <c r="X42" s="8">
        <f>IF(W42="평가 가능",(L42-U42)/U42,"")</f>
        <v/>
      </c>
      <c r="Y42" s="8">
        <f>IF(W42="평가 가능",ABS(X42),"")</f>
        <v/>
      </c>
      <c r="Z42" s="7">
        <f>IF(AND(ISNUMBER(M42),M42&gt;0,ISNUMBER(I42)),IF(M42&lt;I42,"최저가 미달",IF(M42=I42,"최저가 동액","최저가 초과")),"")</f>
        <v/>
      </c>
      <c r="AA42" s="7">
        <f>IF(AND(T42="낙찰",ISNUMBER(M42),M42&gt;0,ISNUMBER(U42)),IF(M42&lt;U42,"실제 낙찰가 미만",IF(M42=U42,"실제 낙찰가 동액","실제 낙찰가 초과")),"")</f>
        <v/>
      </c>
      <c r="AB42" s="7">
        <f>IF(AND(ISNUMBER(M42),M42&gt;0,ISNUMBER(R42)),IF(M42&lt;R42,"상한가 미만",IF(M42=R42,"상한가 동액","상한가 초과")),"")</f>
        <v/>
      </c>
      <c r="AC42" s="2" t="n"/>
      <c r="AD42" s="7">
        <f>IF(COUNTA(A42:Q42,S42:V42,AC42)=0,"",IF(OR(A42="",B42="",C42="",NOT(ISNUMBER(G42))),"식별값 확인",IF(COUNTIFS(A$2:A$301,A42,B$2:B$301,B42,C$2:C$301,C42,G$2:G$301,G42)&gt;1,"중복 회차",IF(AND(ISNUMBER(K42),K42&gt;G42),"기일 후 예측",IF(AND(T42="낙찰",W42=""),"평가 입력 확인","")))))</f>
        <v/>
      </c>
    </row>
    <row r="43">
      <c r="A43" s="3" t="n"/>
      <c r="B43" s="3" t="n"/>
      <c r="C43" s="3" t="n"/>
      <c r="D43" s="3" t="n"/>
      <c r="E43" s="3" t="n"/>
      <c r="F43" s="3" t="n"/>
      <c r="G43" s="9" t="n"/>
      <c r="H43" s="10" t="n"/>
      <c r="I43" s="10" t="n"/>
      <c r="J43" s="3" t="n"/>
      <c r="K43" s="9" t="n"/>
      <c r="L43" s="10" t="n"/>
      <c r="M43" s="10" t="n"/>
      <c r="N43" s="3" t="n"/>
      <c r="O43" s="10" t="n"/>
      <c r="P43" s="10" t="n"/>
      <c r="Q43" s="10" t="n"/>
      <c r="R43" s="6">
        <f>IF(COUNT(O43:Q43)=3,O43-P43-Q43,"")</f>
        <v/>
      </c>
      <c r="S43" s="3" t="n"/>
      <c r="T43" s="3" t="n"/>
      <c r="U43" s="10" t="n"/>
      <c r="V43" s="3" t="n"/>
      <c r="W43" s="7">
        <f>IF(AND(A43&lt;&gt;"",B43&lt;&gt;"",C43&lt;&gt;"",ISNUMBER(G43),ISNUMBER(K43),K43&lt;=G43,K43&gt;0,T43="낙찰",ISNUMBER(L43),L43&gt;0,ISNUMBER(U43),U43&gt;0,COUNTIFS(A$2:A$301,A43,B$2:B$301,B43,C$2:C$301,C43,G$2:G$301,G43)=1),"평가 가능","")</f>
        <v/>
      </c>
      <c r="X43" s="8">
        <f>IF(W43="평가 가능",(L43-U43)/U43,"")</f>
        <v/>
      </c>
      <c r="Y43" s="8">
        <f>IF(W43="평가 가능",ABS(X43),"")</f>
        <v/>
      </c>
      <c r="Z43" s="7">
        <f>IF(AND(ISNUMBER(M43),M43&gt;0,ISNUMBER(I43)),IF(M43&lt;I43,"최저가 미달",IF(M43=I43,"최저가 동액","최저가 초과")),"")</f>
        <v/>
      </c>
      <c r="AA43" s="7">
        <f>IF(AND(T43="낙찰",ISNUMBER(M43),M43&gt;0,ISNUMBER(U43)),IF(M43&lt;U43,"실제 낙찰가 미만",IF(M43=U43,"실제 낙찰가 동액","실제 낙찰가 초과")),"")</f>
        <v/>
      </c>
      <c r="AB43" s="7">
        <f>IF(AND(ISNUMBER(M43),M43&gt;0,ISNUMBER(R43)),IF(M43&lt;R43,"상한가 미만",IF(M43=R43,"상한가 동액","상한가 초과")),"")</f>
        <v/>
      </c>
      <c r="AC43" s="3" t="n"/>
      <c r="AD43" s="7">
        <f>IF(COUNTA(A43:Q43,S43:V43,AC43)=0,"",IF(OR(A43="",B43="",C43="",NOT(ISNUMBER(G43))),"식별값 확인",IF(COUNTIFS(A$2:A$301,A43,B$2:B$301,B43,C$2:C$301,C43,G$2:G$301,G43)&gt;1,"중복 회차",IF(AND(ISNUMBER(K43),K43&gt;G43),"기일 후 예측",IF(AND(T43="낙찰",W43=""),"평가 입력 확인","")))))</f>
        <v/>
      </c>
    </row>
    <row r="44">
      <c r="A44" s="2" t="n"/>
      <c r="B44" s="2" t="n"/>
      <c r="C44" s="2" t="n"/>
      <c r="D44" s="2" t="n"/>
      <c r="E44" s="2" t="n"/>
      <c r="F44" s="2" t="n"/>
      <c r="G44" s="4" t="n"/>
      <c r="H44" s="5" t="n"/>
      <c r="I44" s="5" t="n"/>
      <c r="J44" s="2" t="n"/>
      <c r="K44" s="4" t="n"/>
      <c r="L44" s="5" t="n"/>
      <c r="M44" s="5" t="n"/>
      <c r="N44" s="2" t="n"/>
      <c r="O44" s="5" t="n"/>
      <c r="P44" s="5" t="n"/>
      <c r="Q44" s="5" t="n"/>
      <c r="R44" s="6">
        <f>IF(COUNT(O44:Q44)=3,O44-P44-Q44,"")</f>
        <v/>
      </c>
      <c r="S44" s="2" t="n"/>
      <c r="T44" s="2" t="n"/>
      <c r="U44" s="5" t="n"/>
      <c r="V44" s="2" t="n"/>
      <c r="W44" s="7">
        <f>IF(AND(A44&lt;&gt;"",B44&lt;&gt;"",C44&lt;&gt;"",ISNUMBER(G44),ISNUMBER(K44),K44&lt;=G44,K44&gt;0,T44="낙찰",ISNUMBER(L44),L44&gt;0,ISNUMBER(U44),U44&gt;0,COUNTIFS(A$2:A$301,A44,B$2:B$301,B44,C$2:C$301,C44,G$2:G$301,G44)=1),"평가 가능","")</f>
        <v/>
      </c>
      <c r="X44" s="8">
        <f>IF(W44="평가 가능",(L44-U44)/U44,"")</f>
        <v/>
      </c>
      <c r="Y44" s="8">
        <f>IF(W44="평가 가능",ABS(X44),"")</f>
        <v/>
      </c>
      <c r="Z44" s="7">
        <f>IF(AND(ISNUMBER(M44),M44&gt;0,ISNUMBER(I44)),IF(M44&lt;I44,"최저가 미달",IF(M44=I44,"최저가 동액","최저가 초과")),"")</f>
        <v/>
      </c>
      <c r="AA44" s="7">
        <f>IF(AND(T44="낙찰",ISNUMBER(M44),M44&gt;0,ISNUMBER(U44)),IF(M44&lt;U44,"실제 낙찰가 미만",IF(M44=U44,"실제 낙찰가 동액","실제 낙찰가 초과")),"")</f>
        <v/>
      </c>
      <c r="AB44" s="7">
        <f>IF(AND(ISNUMBER(M44),M44&gt;0,ISNUMBER(R44)),IF(M44&lt;R44,"상한가 미만",IF(M44=R44,"상한가 동액","상한가 초과")),"")</f>
        <v/>
      </c>
      <c r="AC44" s="2" t="n"/>
      <c r="AD44" s="7">
        <f>IF(COUNTA(A44:Q44,S44:V44,AC44)=0,"",IF(OR(A44="",B44="",C44="",NOT(ISNUMBER(G44))),"식별값 확인",IF(COUNTIFS(A$2:A$301,A44,B$2:B$301,B44,C$2:C$301,C44,G$2:G$301,G44)&gt;1,"중복 회차",IF(AND(ISNUMBER(K44),K44&gt;G44),"기일 후 예측",IF(AND(T44="낙찰",W44=""),"평가 입력 확인","")))))</f>
        <v/>
      </c>
    </row>
    <row r="45">
      <c r="A45" s="3" t="n"/>
      <c r="B45" s="3" t="n"/>
      <c r="C45" s="3" t="n"/>
      <c r="D45" s="3" t="n"/>
      <c r="E45" s="3" t="n"/>
      <c r="F45" s="3" t="n"/>
      <c r="G45" s="9" t="n"/>
      <c r="H45" s="10" t="n"/>
      <c r="I45" s="10" t="n"/>
      <c r="J45" s="3" t="n"/>
      <c r="K45" s="9" t="n"/>
      <c r="L45" s="10" t="n"/>
      <c r="M45" s="10" t="n"/>
      <c r="N45" s="3" t="n"/>
      <c r="O45" s="10" t="n"/>
      <c r="P45" s="10" t="n"/>
      <c r="Q45" s="10" t="n"/>
      <c r="R45" s="6">
        <f>IF(COUNT(O45:Q45)=3,O45-P45-Q45,"")</f>
        <v/>
      </c>
      <c r="S45" s="3" t="n"/>
      <c r="T45" s="3" t="n"/>
      <c r="U45" s="10" t="n"/>
      <c r="V45" s="3" t="n"/>
      <c r="W45" s="7">
        <f>IF(AND(A45&lt;&gt;"",B45&lt;&gt;"",C45&lt;&gt;"",ISNUMBER(G45),ISNUMBER(K45),K45&lt;=G45,K45&gt;0,T45="낙찰",ISNUMBER(L45),L45&gt;0,ISNUMBER(U45),U45&gt;0,COUNTIFS(A$2:A$301,A45,B$2:B$301,B45,C$2:C$301,C45,G$2:G$301,G45)=1),"평가 가능","")</f>
        <v/>
      </c>
      <c r="X45" s="8">
        <f>IF(W45="평가 가능",(L45-U45)/U45,"")</f>
        <v/>
      </c>
      <c r="Y45" s="8">
        <f>IF(W45="평가 가능",ABS(X45),"")</f>
        <v/>
      </c>
      <c r="Z45" s="7">
        <f>IF(AND(ISNUMBER(M45),M45&gt;0,ISNUMBER(I45)),IF(M45&lt;I45,"최저가 미달",IF(M45=I45,"최저가 동액","최저가 초과")),"")</f>
        <v/>
      </c>
      <c r="AA45" s="7">
        <f>IF(AND(T45="낙찰",ISNUMBER(M45),M45&gt;0,ISNUMBER(U45)),IF(M45&lt;U45,"실제 낙찰가 미만",IF(M45=U45,"실제 낙찰가 동액","실제 낙찰가 초과")),"")</f>
        <v/>
      </c>
      <c r="AB45" s="7">
        <f>IF(AND(ISNUMBER(M45),M45&gt;0,ISNUMBER(R45)),IF(M45&lt;R45,"상한가 미만",IF(M45=R45,"상한가 동액","상한가 초과")),"")</f>
        <v/>
      </c>
      <c r="AC45" s="3" t="n"/>
      <c r="AD45" s="7">
        <f>IF(COUNTA(A45:Q45,S45:V45,AC45)=0,"",IF(OR(A45="",B45="",C45="",NOT(ISNUMBER(G45))),"식별값 확인",IF(COUNTIFS(A$2:A$301,A45,B$2:B$301,B45,C$2:C$301,C45,G$2:G$301,G45)&gt;1,"중복 회차",IF(AND(ISNUMBER(K45),K45&gt;G45),"기일 후 예측",IF(AND(T45="낙찰",W45=""),"평가 입력 확인","")))))</f>
        <v/>
      </c>
    </row>
    <row r="46">
      <c r="A46" s="2" t="n"/>
      <c r="B46" s="2" t="n"/>
      <c r="C46" s="2" t="n"/>
      <c r="D46" s="2" t="n"/>
      <c r="E46" s="2" t="n"/>
      <c r="F46" s="2" t="n"/>
      <c r="G46" s="4" t="n"/>
      <c r="H46" s="5" t="n"/>
      <c r="I46" s="5" t="n"/>
      <c r="J46" s="2" t="n"/>
      <c r="K46" s="4" t="n"/>
      <c r="L46" s="5" t="n"/>
      <c r="M46" s="5" t="n"/>
      <c r="N46" s="2" t="n"/>
      <c r="O46" s="5" t="n"/>
      <c r="P46" s="5" t="n"/>
      <c r="Q46" s="5" t="n"/>
      <c r="R46" s="6">
        <f>IF(COUNT(O46:Q46)=3,O46-P46-Q46,"")</f>
        <v/>
      </c>
      <c r="S46" s="2" t="n"/>
      <c r="T46" s="2" t="n"/>
      <c r="U46" s="5" t="n"/>
      <c r="V46" s="2" t="n"/>
      <c r="W46" s="7">
        <f>IF(AND(A46&lt;&gt;"",B46&lt;&gt;"",C46&lt;&gt;"",ISNUMBER(G46),ISNUMBER(K46),K46&lt;=G46,K46&gt;0,T46="낙찰",ISNUMBER(L46),L46&gt;0,ISNUMBER(U46),U46&gt;0,COUNTIFS(A$2:A$301,A46,B$2:B$301,B46,C$2:C$301,C46,G$2:G$301,G46)=1),"평가 가능","")</f>
        <v/>
      </c>
      <c r="X46" s="8">
        <f>IF(W46="평가 가능",(L46-U46)/U46,"")</f>
        <v/>
      </c>
      <c r="Y46" s="8">
        <f>IF(W46="평가 가능",ABS(X46),"")</f>
        <v/>
      </c>
      <c r="Z46" s="7">
        <f>IF(AND(ISNUMBER(M46),M46&gt;0,ISNUMBER(I46)),IF(M46&lt;I46,"최저가 미달",IF(M46=I46,"최저가 동액","최저가 초과")),"")</f>
        <v/>
      </c>
      <c r="AA46" s="7">
        <f>IF(AND(T46="낙찰",ISNUMBER(M46),M46&gt;0,ISNUMBER(U46)),IF(M46&lt;U46,"실제 낙찰가 미만",IF(M46=U46,"실제 낙찰가 동액","실제 낙찰가 초과")),"")</f>
        <v/>
      </c>
      <c r="AB46" s="7">
        <f>IF(AND(ISNUMBER(M46),M46&gt;0,ISNUMBER(R46)),IF(M46&lt;R46,"상한가 미만",IF(M46=R46,"상한가 동액","상한가 초과")),"")</f>
        <v/>
      </c>
      <c r="AC46" s="2" t="n"/>
      <c r="AD46" s="7">
        <f>IF(COUNTA(A46:Q46,S46:V46,AC46)=0,"",IF(OR(A46="",B46="",C46="",NOT(ISNUMBER(G46))),"식별값 확인",IF(COUNTIFS(A$2:A$301,A46,B$2:B$301,B46,C$2:C$301,C46,G$2:G$301,G46)&gt;1,"중복 회차",IF(AND(ISNUMBER(K46),K46&gt;G46),"기일 후 예측",IF(AND(T46="낙찰",W46=""),"평가 입력 확인","")))))</f>
        <v/>
      </c>
    </row>
    <row r="47">
      <c r="A47" s="3" t="n"/>
      <c r="B47" s="3" t="n"/>
      <c r="C47" s="3" t="n"/>
      <c r="D47" s="3" t="n"/>
      <c r="E47" s="3" t="n"/>
      <c r="F47" s="3" t="n"/>
      <c r="G47" s="9" t="n"/>
      <c r="H47" s="10" t="n"/>
      <c r="I47" s="10" t="n"/>
      <c r="J47" s="3" t="n"/>
      <c r="K47" s="9" t="n"/>
      <c r="L47" s="10" t="n"/>
      <c r="M47" s="10" t="n"/>
      <c r="N47" s="3" t="n"/>
      <c r="O47" s="10" t="n"/>
      <c r="P47" s="10" t="n"/>
      <c r="Q47" s="10" t="n"/>
      <c r="R47" s="6">
        <f>IF(COUNT(O47:Q47)=3,O47-P47-Q47,"")</f>
        <v/>
      </c>
      <c r="S47" s="3" t="n"/>
      <c r="T47" s="3" t="n"/>
      <c r="U47" s="10" t="n"/>
      <c r="V47" s="3" t="n"/>
      <c r="W47" s="7">
        <f>IF(AND(A47&lt;&gt;"",B47&lt;&gt;"",C47&lt;&gt;"",ISNUMBER(G47),ISNUMBER(K47),K47&lt;=G47,K47&gt;0,T47="낙찰",ISNUMBER(L47),L47&gt;0,ISNUMBER(U47),U47&gt;0,COUNTIFS(A$2:A$301,A47,B$2:B$301,B47,C$2:C$301,C47,G$2:G$301,G47)=1),"평가 가능","")</f>
        <v/>
      </c>
      <c r="X47" s="8">
        <f>IF(W47="평가 가능",(L47-U47)/U47,"")</f>
        <v/>
      </c>
      <c r="Y47" s="8">
        <f>IF(W47="평가 가능",ABS(X47),"")</f>
        <v/>
      </c>
      <c r="Z47" s="7">
        <f>IF(AND(ISNUMBER(M47),M47&gt;0,ISNUMBER(I47)),IF(M47&lt;I47,"최저가 미달",IF(M47=I47,"최저가 동액","최저가 초과")),"")</f>
        <v/>
      </c>
      <c r="AA47" s="7">
        <f>IF(AND(T47="낙찰",ISNUMBER(M47),M47&gt;0,ISNUMBER(U47)),IF(M47&lt;U47,"실제 낙찰가 미만",IF(M47=U47,"실제 낙찰가 동액","실제 낙찰가 초과")),"")</f>
        <v/>
      </c>
      <c r="AB47" s="7">
        <f>IF(AND(ISNUMBER(M47),M47&gt;0,ISNUMBER(R47)),IF(M47&lt;R47,"상한가 미만",IF(M47=R47,"상한가 동액","상한가 초과")),"")</f>
        <v/>
      </c>
      <c r="AC47" s="3" t="n"/>
      <c r="AD47" s="7">
        <f>IF(COUNTA(A47:Q47,S47:V47,AC47)=0,"",IF(OR(A47="",B47="",C47="",NOT(ISNUMBER(G47))),"식별값 확인",IF(COUNTIFS(A$2:A$301,A47,B$2:B$301,B47,C$2:C$301,C47,G$2:G$301,G47)&gt;1,"중복 회차",IF(AND(ISNUMBER(K47),K47&gt;G47),"기일 후 예측",IF(AND(T47="낙찰",W47=""),"평가 입력 확인","")))))</f>
        <v/>
      </c>
    </row>
    <row r="48">
      <c r="A48" s="2" t="n"/>
      <c r="B48" s="2" t="n"/>
      <c r="C48" s="2" t="n"/>
      <c r="D48" s="2" t="n"/>
      <c r="E48" s="2" t="n"/>
      <c r="F48" s="2" t="n"/>
      <c r="G48" s="4" t="n"/>
      <c r="H48" s="5" t="n"/>
      <c r="I48" s="5" t="n"/>
      <c r="J48" s="2" t="n"/>
      <c r="K48" s="4" t="n"/>
      <c r="L48" s="5" t="n"/>
      <c r="M48" s="5" t="n"/>
      <c r="N48" s="2" t="n"/>
      <c r="O48" s="5" t="n"/>
      <c r="P48" s="5" t="n"/>
      <c r="Q48" s="5" t="n"/>
      <c r="R48" s="6">
        <f>IF(COUNT(O48:Q48)=3,O48-P48-Q48,"")</f>
        <v/>
      </c>
      <c r="S48" s="2" t="n"/>
      <c r="T48" s="2" t="n"/>
      <c r="U48" s="5" t="n"/>
      <c r="V48" s="2" t="n"/>
      <c r="W48" s="7">
        <f>IF(AND(A48&lt;&gt;"",B48&lt;&gt;"",C48&lt;&gt;"",ISNUMBER(G48),ISNUMBER(K48),K48&lt;=G48,K48&gt;0,T48="낙찰",ISNUMBER(L48),L48&gt;0,ISNUMBER(U48),U48&gt;0,COUNTIFS(A$2:A$301,A48,B$2:B$301,B48,C$2:C$301,C48,G$2:G$301,G48)=1),"평가 가능","")</f>
        <v/>
      </c>
      <c r="X48" s="8">
        <f>IF(W48="평가 가능",(L48-U48)/U48,"")</f>
        <v/>
      </c>
      <c r="Y48" s="8">
        <f>IF(W48="평가 가능",ABS(X48),"")</f>
        <v/>
      </c>
      <c r="Z48" s="7">
        <f>IF(AND(ISNUMBER(M48),M48&gt;0,ISNUMBER(I48)),IF(M48&lt;I48,"최저가 미달",IF(M48=I48,"최저가 동액","최저가 초과")),"")</f>
        <v/>
      </c>
      <c r="AA48" s="7">
        <f>IF(AND(T48="낙찰",ISNUMBER(M48),M48&gt;0,ISNUMBER(U48)),IF(M48&lt;U48,"실제 낙찰가 미만",IF(M48=U48,"실제 낙찰가 동액","실제 낙찰가 초과")),"")</f>
        <v/>
      </c>
      <c r="AB48" s="7">
        <f>IF(AND(ISNUMBER(M48),M48&gt;0,ISNUMBER(R48)),IF(M48&lt;R48,"상한가 미만",IF(M48=R48,"상한가 동액","상한가 초과")),"")</f>
        <v/>
      </c>
      <c r="AC48" s="2" t="n"/>
      <c r="AD48" s="7">
        <f>IF(COUNTA(A48:Q48,S48:V48,AC48)=0,"",IF(OR(A48="",B48="",C48="",NOT(ISNUMBER(G48))),"식별값 확인",IF(COUNTIFS(A$2:A$301,A48,B$2:B$301,B48,C$2:C$301,C48,G$2:G$301,G48)&gt;1,"중복 회차",IF(AND(ISNUMBER(K48),K48&gt;G48),"기일 후 예측",IF(AND(T48="낙찰",W48=""),"평가 입력 확인","")))))</f>
        <v/>
      </c>
    </row>
    <row r="49">
      <c r="A49" s="3" t="n"/>
      <c r="B49" s="3" t="n"/>
      <c r="C49" s="3" t="n"/>
      <c r="D49" s="3" t="n"/>
      <c r="E49" s="3" t="n"/>
      <c r="F49" s="3" t="n"/>
      <c r="G49" s="9" t="n"/>
      <c r="H49" s="10" t="n"/>
      <c r="I49" s="10" t="n"/>
      <c r="J49" s="3" t="n"/>
      <c r="K49" s="9" t="n"/>
      <c r="L49" s="10" t="n"/>
      <c r="M49" s="10" t="n"/>
      <c r="N49" s="3" t="n"/>
      <c r="O49" s="10" t="n"/>
      <c r="P49" s="10" t="n"/>
      <c r="Q49" s="10" t="n"/>
      <c r="R49" s="6">
        <f>IF(COUNT(O49:Q49)=3,O49-P49-Q49,"")</f>
        <v/>
      </c>
      <c r="S49" s="3" t="n"/>
      <c r="T49" s="3" t="n"/>
      <c r="U49" s="10" t="n"/>
      <c r="V49" s="3" t="n"/>
      <c r="W49" s="7">
        <f>IF(AND(A49&lt;&gt;"",B49&lt;&gt;"",C49&lt;&gt;"",ISNUMBER(G49),ISNUMBER(K49),K49&lt;=G49,K49&gt;0,T49="낙찰",ISNUMBER(L49),L49&gt;0,ISNUMBER(U49),U49&gt;0,COUNTIFS(A$2:A$301,A49,B$2:B$301,B49,C$2:C$301,C49,G$2:G$301,G49)=1),"평가 가능","")</f>
        <v/>
      </c>
      <c r="X49" s="8">
        <f>IF(W49="평가 가능",(L49-U49)/U49,"")</f>
        <v/>
      </c>
      <c r="Y49" s="8">
        <f>IF(W49="평가 가능",ABS(X49),"")</f>
        <v/>
      </c>
      <c r="Z49" s="7">
        <f>IF(AND(ISNUMBER(M49),M49&gt;0,ISNUMBER(I49)),IF(M49&lt;I49,"최저가 미달",IF(M49=I49,"최저가 동액","최저가 초과")),"")</f>
        <v/>
      </c>
      <c r="AA49" s="7">
        <f>IF(AND(T49="낙찰",ISNUMBER(M49),M49&gt;0,ISNUMBER(U49)),IF(M49&lt;U49,"실제 낙찰가 미만",IF(M49=U49,"실제 낙찰가 동액","실제 낙찰가 초과")),"")</f>
        <v/>
      </c>
      <c r="AB49" s="7">
        <f>IF(AND(ISNUMBER(M49),M49&gt;0,ISNUMBER(R49)),IF(M49&lt;R49,"상한가 미만",IF(M49=R49,"상한가 동액","상한가 초과")),"")</f>
        <v/>
      </c>
      <c r="AC49" s="3" t="n"/>
      <c r="AD49" s="7">
        <f>IF(COUNTA(A49:Q49,S49:V49,AC49)=0,"",IF(OR(A49="",B49="",C49="",NOT(ISNUMBER(G49))),"식별값 확인",IF(COUNTIFS(A$2:A$301,A49,B$2:B$301,B49,C$2:C$301,C49,G$2:G$301,G49)&gt;1,"중복 회차",IF(AND(ISNUMBER(K49),K49&gt;G49),"기일 후 예측",IF(AND(T49="낙찰",W49=""),"평가 입력 확인","")))))</f>
        <v/>
      </c>
    </row>
    <row r="50">
      <c r="A50" s="2" t="n"/>
      <c r="B50" s="2" t="n"/>
      <c r="C50" s="2" t="n"/>
      <c r="D50" s="2" t="n"/>
      <c r="E50" s="2" t="n"/>
      <c r="F50" s="2" t="n"/>
      <c r="G50" s="4" t="n"/>
      <c r="H50" s="5" t="n"/>
      <c r="I50" s="5" t="n"/>
      <c r="J50" s="2" t="n"/>
      <c r="K50" s="4" t="n"/>
      <c r="L50" s="5" t="n"/>
      <c r="M50" s="5" t="n"/>
      <c r="N50" s="2" t="n"/>
      <c r="O50" s="5" t="n"/>
      <c r="P50" s="5" t="n"/>
      <c r="Q50" s="5" t="n"/>
      <c r="R50" s="6">
        <f>IF(COUNT(O50:Q50)=3,O50-P50-Q50,"")</f>
        <v/>
      </c>
      <c r="S50" s="2" t="n"/>
      <c r="T50" s="2" t="n"/>
      <c r="U50" s="5" t="n"/>
      <c r="V50" s="2" t="n"/>
      <c r="W50" s="7">
        <f>IF(AND(A50&lt;&gt;"",B50&lt;&gt;"",C50&lt;&gt;"",ISNUMBER(G50),ISNUMBER(K50),K50&lt;=G50,K50&gt;0,T50="낙찰",ISNUMBER(L50),L50&gt;0,ISNUMBER(U50),U50&gt;0,COUNTIFS(A$2:A$301,A50,B$2:B$301,B50,C$2:C$301,C50,G$2:G$301,G50)=1),"평가 가능","")</f>
        <v/>
      </c>
      <c r="X50" s="8">
        <f>IF(W50="평가 가능",(L50-U50)/U50,"")</f>
        <v/>
      </c>
      <c r="Y50" s="8">
        <f>IF(W50="평가 가능",ABS(X50),"")</f>
        <v/>
      </c>
      <c r="Z50" s="7">
        <f>IF(AND(ISNUMBER(M50),M50&gt;0,ISNUMBER(I50)),IF(M50&lt;I50,"최저가 미달",IF(M50=I50,"최저가 동액","최저가 초과")),"")</f>
        <v/>
      </c>
      <c r="AA50" s="7">
        <f>IF(AND(T50="낙찰",ISNUMBER(M50),M50&gt;0,ISNUMBER(U50)),IF(M50&lt;U50,"실제 낙찰가 미만",IF(M50=U50,"실제 낙찰가 동액","실제 낙찰가 초과")),"")</f>
        <v/>
      </c>
      <c r="AB50" s="7">
        <f>IF(AND(ISNUMBER(M50),M50&gt;0,ISNUMBER(R50)),IF(M50&lt;R50,"상한가 미만",IF(M50=R50,"상한가 동액","상한가 초과")),"")</f>
        <v/>
      </c>
      <c r="AC50" s="2" t="n"/>
      <c r="AD50" s="7">
        <f>IF(COUNTA(A50:Q50,S50:V50,AC50)=0,"",IF(OR(A50="",B50="",C50="",NOT(ISNUMBER(G50))),"식별값 확인",IF(COUNTIFS(A$2:A$301,A50,B$2:B$301,B50,C$2:C$301,C50,G$2:G$301,G50)&gt;1,"중복 회차",IF(AND(ISNUMBER(K50),K50&gt;G50),"기일 후 예측",IF(AND(T50="낙찰",W50=""),"평가 입력 확인","")))))</f>
        <v/>
      </c>
    </row>
    <row r="51">
      <c r="A51" s="3" t="n"/>
      <c r="B51" s="3" t="n"/>
      <c r="C51" s="3" t="n"/>
      <c r="D51" s="3" t="n"/>
      <c r="E51" s="3" t="n"/>
      <c r="F51" s="3" t="n"/>
      <c r="G51" s="9" t="n"/>
      <c r="H51" s="10" t="n"/>
      <c r="I51" s="10" t="n"/>
      <c r="J51" s="3" t="n"/>
      <c r="K51" s="9" t="n"/>
      <c r="L51" s="10" t="n"/>
      <c r="M51" s="10" t="n"/>
      <c r="N51" s="3" t="n"/>
      <c r="O51" s="10" t="n"/>
      <c r="P51" s="10" t="n"/>
      <c r="Q51" s="10" t="n"/>
      <c r="R51" s="6">
        <f>IF(COUNT(O51:Q51)=3,O51-P51-Q51,"")</f>
        <v/>
      </c>
      <c r="S51" s="3" t="n"/>
      <c r="T51" s="3" t="n"/>
      <c r="U51" s="10" t="n"/>
      <c r="V51" s="3" t="n"/>
      <c r="W51" s="7">
        <f>IF(AND(A51&lt;&gt;"",B51&lt;&gt;"",C51&lt;&gt;"",ISNUMBER(G51),ISNUMBER(K51),K51&lt;=G51,K51&gt;0,T51="낙찰",ISNUMBER(L51),L51&gt;0,ISNUMBER(U51),U51&gt;0,COUNTIFS(A$2:A$301,A51,B$2:B$301,B51,C$2:C$301,C51,G$2:G$301,G51)=1),"평가 가능","")</f>
        <v/>
      </c>
      <c r="X51" s="8">
        <f>IF(W51="평가 가능",(L51-U51)/U51,"")</f>
        <v/>
      </c>
      <c r="Y51" s="8">
        <f>IF(W51="평가 가능",ABS(X51),"")</f>
        <v/>
      </c>
      <c r="Z51" s="7">
        <f>IF(AND(ISNUMBER(M51),M51&gt;0,ISNUMBER(I51)),IF(M51&lt;I51,"최저가 미달",IF(M51=I51,"최저가 동액","최저가 초과")),"")</f>
        <v/>
      </c>
      <c r="AA51" s="7">
        <f>IF(AND(T51="낙찰",ISNUMBER(M51),M51&gt;0,ISNUMBER(U51)),IF(M51&lt;U51,"실제 낙찰가 미만",IF(M51=U51,"실제 낙찰가 동액","실제 낙찰가 초과")),"")</f>
        <v/>
      </c>
      <c r="AB51" s="7">
        <f>IF(AND(ISNUMBER(M51),M51&gt;0,ISNUMBER(R51)),IF(M51&lt;R51,"상한가 미만",IF(M51=R51,"상한가 동액","상한가 초과")),"")</f>
        <v/>
      </c>
      <c r="AC51" s="3" t="n"/>
      <c r="AD51" s="7">
        <f>IF(COUNTA(A51:Q51,S51:V51,AC51)=0,"",IF(OR(A51="",B51="",C51="",NOT(ISNUMBER(G51))),"식별값 확인",IF(COUNTIFS(A$2:A$301,A51,B$2:B$301,B51,C$2:C$301,C51,G$2:G$301,G51)&gt;1,"중복 회차",IF(AND(ISNUMBER(K51),K51&gt;G51),"기일 후 예측",IF(AND(T51="낙찰",W51=""),"평가 입력 확인","")))))</f>
        <v/>
      </c>
    </row>
    <row r="52">
      <c r="A52" s="2" t="n"/>
      <c r="B52" s="2" t="n"/>
      <c r="C52" s="2" t="n"/>
      <c r="D52" s="2" t="n"/>
      <c r="E52" s="2" t="n"/>
      <c r="F52" s="2" t="n"/>
      <c r="G52" s="4" t="n"/>
      <c r="H52" s="5" t="n"/>
      <c r="I52" s="5" t="n"/>
      <c r="J52" s="2" t="n"/>
      <c r="K52" s="4" t="n"/>
      <c r="L52" s="5" t="n"/>
      <c r="M52" s="5" t="n"/>
      <c r="N52" s="2" t="n"/>
      <c r="O52" s="5" t="n"/>
      <c r="P52" s="5" t="n"/>
      <c r="Q52" s="5" t="n"/>
      <c r="R52" s="6">
        <f>IF(COUNT(O52:Q52)=3,O52-P52-Q52,"")</f>
        <v/>
      </c>
      <c r="S52" s="2" t="n"/>
      <c r="T52" s="2" t="n"/>
      <c r="U52" s="5" t="n"/>
      <c r="V52" s="2" t="n"/>
      <c r="W52" s="7">
        <f>IF(AND(A52&lt;&gt;"",B52&lt;&gt;"",C52&lt;&gt;"",ISNUMBER(G52),ISNUMBER(K52),K52&lt;=G52,K52&gt;0,T52="낙찰",ISNUMBER(L52),L52&gt;0,ISNUMBER(U52),U52&gt;0,COUNTIFS(A$2:A$301,A52,B$2:B$301,B52,C$2:C$301,C52,G$2:G$301,G52)=1),"평가 가능","")</f>
        <v/>
      </c>
      <c r="X52" s="8">
        <f>IF(W52="평가 가능",(L52-U52)/U52,"")</f>
        <v/>
      </c>
      <c r="Y52" s="8">
        <f>IF(W52="평가 가능",ABS(X52),"")</f>
        <v/>
      </c>
      <c r="Z52" s="7">
        <f>IF(AND(ISNUMBER(M52),M52&gt;0,ISNUMBER(I52)),IF(M52&lt;I52,"최저가 미달",IF(M52=I52,"최저가 동액","최저가 초과")),"")</f>
        <v/>
      </c>
      <c r="AA52" s="7">
        <f>IF(AND(T52="낙찰",ISNUMBER(M52),M52&gt;0,ISNUMBER(U52)),IF(M52&lt;U52,"실제 낙찰가 미만",IF(M52=U52,"실제 낙찰가 동액","실제 낙찰가 초과")),"")</f>
        <v/>
      </c>
      <c r="AB52" s="7">
        <f>IF(AND(ISNUMBER(M52),M52&gt;0,ISNUMBER(R52)),IF(M52&lt;R52,"상한가 미만",IF(M52=R52,"상한가 동액","상한가 초과")),"")</f>
        <v/>
      </c>
      <c r="AC52" s="2" t="n"/>
      <c r="AD52" s="7">
        <f>IF(COUNTA(A52:Q52,S52:V52,AC52)=0,"",IF(OR(A52="",B52="",C52="",NOT(ISNUMBER(G52))),"식별값 확인",IF(COUNTIFS(A$2:A$301,A52,B$2:B$301,B52,C$2:C$301,C52,G$2:G$301,G52)&gt;1,"중복 회차",IF(AND(ISNUMBER(K52),K52&gt;G52),"기일 후 예측",IF(AND(T52="낙찰",W52=""),"평가 입력 확인","")))))</f>
        <v/>
      </c>
    </row>
    <row r="53">
      <c r="A53" s="3" t="n"/>
      <c r="B53" s="3" t="n"/>
      <c r="C53" s="3" t="n"/>
      <c r="D53" s="3" t="n"/>
      <c r="E53" s="3" t="n"/>
      <c r="F53" s="3" t="n"/>
      <c r="G53" s="9" t="n"/>
      <c r="H53" s="10" t="n"/>
      <c r="I53" s="10" t="n"/>
      <c r="J53" s="3" t="n"/>
      <c r="K53" s="9" t="n"/>
      <c r="L53" s="10" t="n"/>
      <c r="M53" s="10" t="n"/>
      <c r="N53" s="3" t="n"/>
      <c r="O53" s="10" t="n"/>
      <c r="P53" s="10" t="n"/>
      <c r="Q53" s="10" t="n"/>
      <c r="R53" s="6">
        <f>IF(COUNT(O53:Q53)=3,O53-P53-Q53,"")</f>
        <v/>
      </c>
      <c r="S53" s="3" t="n"/>
      <c r="T53" s="3" t="n"/>
      <c r="U53" s="10" t="n"/>
      <c r="V53" s="3" t="n"/>
      <c r="W53" s="7">
        <f>IF(AND(A53&lt;&gt;"",B53&lt;&gt;"",C53&lt;&gt;"",ISNUMBER(G53),ISNUMBER(K53),K53&lt;=G53,K53&gt;0,T53="낙찰",ISNUMBER(L53),L53&gt;0,ISNUMBER(U53),U53&gt;0,COUNTIFS(A$2:A$301,A53,B$2:B$301,B53,C$2:C$301,C53,G$2:G$301,G53)=1),"평가 가능","")</f>
        <v/>
      </c>
      <c r="X53" s="8">
        <f>IF(W53="평가 가능",(L53-U53)/U53,"")</f>
        <v/>
      </c>
      <c r="Y53" s="8">
        <f>IF(W53="평가 가능",ABS(X53),"")</f>
        <v/>
      </c>
      <c r="Z53" s="7">
        <f>IF(AND(ISNUMBER(M53),M53&gt;0,ISNUMBER(I53)),IF(M53&lt;I53,"최저가 미달",IF(M53=I53,"최저가 동액","최저가 초과")),"")</f>
        <v/>
      </c>
      <c r="AA53" s="7">
        <f>IF(AND(T53="낙찰",ISNUMBER(M53),M53&gt;0,ISNUMBER(U53)),IF(M53&lt;U53,"실제 낙찰가 미만",IF(M53=U53,"실제 낙찰가 동액","실제 낙찰가 초과")),"")</f>
        <v/>
      </c>
      <c r="AB53" s="7">
        <f>IF(AND(ISNUMBER(M53),M53&gt;0,ISNUMBER(R53)),IF(M53&lt;R53,"상한가 미만",IF(M53=R53,"상한가 동액","상한가 초과")),"")</f>
        <v/>
      </c>
      <c r="AC53" s="3" t="n"/>
      <c r="AD53" s="7">
        <f>IF(COUNTA(A53:Q53,S53:V53,AC53)=0,"",IF(OR(A53="",B53="",C53="",NOT(ISNUMBER(G53))),"식별값 확인",IF(COUNTIFS(A$2:A$301,A53,B$2:B$301,B53,C$2:C$301,C53,G$2:G$301,G53)&gt;1,"중복 회차",IF(AND(ISNUMBER(K53),K53&gt;G53),"기일 후 예측",IF(AND(T53="낙찰",W53=""),"평가 입력 확인","")))))</f>
        <v/>
      </c>
    </row>
    <row r="54">
      <c r="A54" s="2" t="n"/>
      <c r="B54" s="2" t="n"/>
      <c r="C54" s="2" t="n"/>
      <c r="D54" s="2" t="n"/>
      <c r="E54" s="2" t="n"/>
      <c r="F54" s="2" t="n"/>
      <c r="G54" s="4" t="n"/>
      <c r="H54" s="5" t="n"/>
      <c r="I54" s="5" t="n"/>
      <c r="J54" s="2" t="n"/>
      <c r="K54" s="4" t="n"/>
      <c r="L54" s="5" t="n"/>
      <c r="M54" s="5" t="n"/>
      <c r="N54" s="2" t="n"/>
      <c r="O54" s="5" t="n"/>
      <c r="P54" s="5" t="n"/>
      <c r="Q54" s="5" t="n"/>
      <c r="R54" s="6">
        <f>IF(COUNT(O54:Q54)=3,O54-P54-Q54,"")</f>
        <v/>
      </c>
      <c r="S54" s="2" t="n"/>
      <c r="T54" s="2" t="n"/>
      <c r="U54" s="5" t="n"/>
      <c r="V54" s="2" t="n"/>
      <c r="W54" s="7">
        <f>IF(AND(A54&lt;&gt;"",B54&lt;&gt;"",C54&lt;&gt;"",ISNUMBER(G54),ISNUMBER(K54),K54&lt;=G54,K54&gt;0,T54="낙찰",ISNUMBER(L54),L54&gt;0,ISNUMBER(U54),U54&gt;0,COUNTIFS(A$2:A$301,A54,B$2:B$301,B54,C$2:C$301,C54,G$2:G$301,G54)=1),"평가 가능","")</f>
        <v/>
      </c>
      <c r="X54" s="8">
        <f>IF(W54="평가 가능",(L54-U54)/U54,"")</f>
        <v/>
      </c>
      <c r="Y54" s="8">
        <f>IF(W54="평가 가능",ABS(X54),"")</f>
        <v/>
      </c>
      <c r="Z54" s="7">
        <f>IF(AND(ISNUMBER(M54),M54&gt;0,ISNUMBER(I54)),IF(M54&lt;I54,"최저가 미달",IF(M54=I54,"최저가 동액","최저가 초과")),"")</f>
        <v/>
      </c>
      <c r="AA54" s="7">
        <f>IF(AND(T54="낙찰",ISNUMBER(M54),M54&gt;0,ISNUMBER(U54)),IF(M54&lt;U54,"실제 낙찰가 미만",IF(M54=U54,"실제 낙찰가 동액","실제 낙찰가 초과")),"")</f>
        <v/>
      </c>
      <c r="AB54" s="7">
        <f>IF(AND(ISNUMBER(M54),M54&gt;0,ISNUMBER(R54)),IF(M54&lt;R54,"상한가 미만",IF(M54=R54,"상한가 동액","상한가 초과")),"")</f>
        <v/>
      </c>
      <c r="AC54" s="2" t="n"/>
      <c r="AD54" s="7">
        <f>IF(COUNTA(A54:Q54,S54:V54,AC54)=0,"",IF(OR(A54="",B54="",C54="",NOT(ISNUMBER(G54))),"식별값 확인",IF(COUNTIFS(A$2:A$301,A54,B$2:B$301,B54,C$2:C$301,C54,G$2:G$301,G54)&gt;1,"중복 회차",IF(AND(ISNUMBER(K54),K54&gt;G54),"기일 후 예측",IF(AND(T54="낙찰",W54=""),"평가 입력 확인","")))))</f>
        <v/>
      </c>
    </row>
    <row r="55">
      <c r="A55" s="3" t="n"/>
      <c r="B55" s="3" t="n"/>
      <c r="C55" s="3" t="n"/>
      <c r="D55" s="3" t="n"/>
      <c r="E55" s="3" t="n"/>
      <c r="F55" s="3" t="n"/>
      <c r="G55" s="9" t="n"/>
      <c r="H55" s="10" t="n"/>
      <c r="I55" s="10" t="n"/>
      <c r="J55" s="3" t="n"/>
      <c r="K55" s="9" t="n"/>
      <c r="L55" s="10" t="n"/>
      <c r="M55" s="10" t="n"/>
      <c r="N55" s="3" t="n"/>
      <c r="O55" s="10" t="n"/>
      <c r="P55" s="10" t="n"/>
      <c r="Q55" s="10" t="n"/>
      <c r="R55" s="6">
        <f>IF(COUNT(O55:Q55)=3,O55-P55-Q55,"")</f>
        <v/>
      </c>
      <c r="S55" s="3" t="n"/>
      <c r="T55" s="3" t="n"/>
      <c r="U55" s="10" t="n"/>
      <c r="V55" s="3" t="n"/>
      <c r="W55" s="7">
        <f>IF(AND(A55&lt;&gt;"",B55&lt;&gt;"",C55&lt;&gt;"",ISNUMBER(G55),ISNUMBER(K55),K55&lt;=G55,K55&gt;0,T55="낙찰",ISNUMBER(L55),L55&gt;0,ISNUMBER(U55),U55&gt;0,COUNTIFS(A$2:A$301,A55,B$2:B$301,B55,C$2:C$301,C55,G$2:G$301,G55)=1),"평가 가능","")</f>
        <v/>
      </c>
      <c r="X55" s="8">
        <f>IF(W55="평가 가능",(L55-U55)/U55,"")</f>
        <v/>
      </c>
      <c r="Y55" s="8">
        <f>IF(W55="평가 가능",ABS(X55),"")</f>
        <v/>
      </c>
      <c r="Z55" s="7">
        <f>IF(AND(ISNUMBER(M55),M55&gt;0,ISNUMBER(I55)),IF(M55&lt;I55,"최저가 미달",IF(M55=I55,"최저가 동액","최저가 초과")),"")</f>
        <v/>
      </c>
      <c r="AA55" s="7">
        <f>IF(AND(T55="낙찰",ISNUMBER(M55),M55&gt;0,ISNUMBER(U55)),IF(M55&lt;U55,"실제 낙찰가 미만",IF(M55=U55,"실제 낙찰가 동액","실제 낙찰가 초과")),"")</f>
        <v/>
      </c>
      <c r="AB55" s="7">
        <f>IF(AND(ISNUMBER(M55),M55&gt;0,ISNUMBER(R55)),IF(M55&lt;R55,"상한가 미만",IF(M55=R55,"상한가 동액","상한가 초과")),"")</f>
        <v/>
      </c>
      <c r="AC55" s="3" t="n"/>
      <c r="AD55" s="7">
        <f>IF(COUNTA(A55:Q55,S55:V55,AC55)=0,"",IF(OR(A55="",B55="",C55="",NOT(ISNUMBER(G55))),"식별값 확인",IF(COUNTIFS(A$2:A$301,A55,B$2:B$301,B55,C$2:C$301,C55,G$2:G$301,G55)&gt;1,"중복 회차",IF(AND(ISNUMBER(K55),K55&gt;G55),"기일 후 예측",IF(AND(T55="낙찰",W55=""),"평가 입력 확인","")))))</f>
        <v/>
      </c>
    </row>
    <row r="56">
      <c r="A56" s="2" t="n"/>
      <c r="B56" s="2" t="n"/>
      <c r="C56" s="2" t="n"/>
      <c r="D56" s="2" t="n"/>
      <c r="E56" s="2" t="n"/>
      <c r="F56" s="2" t="n"/>
      <c r="G56" s="4" t="n"/>
      <c r="H56" s="5" t="n"/>
      <c r="I56" s="5" t="n"/>
      <c r="J56" s="2" t="n"/>
      <c r="K56" s="4" t="n"/>
      <c r="L56" s="5" t="n"/>
      <c r="M56" s="5" t="n"/>
      <c r="N56" s="2" t="n"/>
      <c r="O56" s="5" t="n"/>
      <c r="P56" s="5" t="n"/>
      <c r="Q56" s="5" t="n"/>
      <c r="R56" s="6">
        <f>IF(COUNT(O56:Q56)=3,O56-P56-Q56,"")</f>
        <v/>
      </c>
      <c r="S56" s="2" t="n"/>
      <c r="T56" s="2" t="n"/>
      <c r="U56" s="5" t="n"/>
      <c r="V56" s="2" t="n"/>
      <c r="W56" s="7">
        <f>IF(AND(A56&lt;&gt;"",B56&lt;&gt;"",C56&lt;&gt;"",ISNUMBER(G56),ISNUMBER(K56),K56&lt;=G56,K56&gt;0,T56="낙찰",ISNUMBER(L56),L56&gt;0,ISNUMBER(U56),U56&gt;0,COUNTIFS(A$2:A$301,A56,B$2:B$301,B56,C$2:C$301,C56,G$2:G$301,G56)=1),"평가 가능","")</f>
        <v/>
      </c>
      <c r="X56" s="8">
        <f>IF(W56="평가 가능",(L56-U56)/U56,"")</f>
        <v/>
      </c>
      <c r="Y56" s="8">
        <f>IF(W56="평가 가능",ABS(X56),"")</f>
        <v/>
      </c>
      <c r="Z56" s="7">
        <f>IF(AND(ISNUMBER(M56),M56&gt;0,ISNUMBER(I56)),IF(M56&lt;I56,"최저가 미달",IF(M56=I56,"최저가 동액","최저가 초과")),"")</f>
        <v/>
      </c>
      <c r="AA56" s="7">
        <f>IF(AND(T56="낙찰",ISNUMBER(M56),M56&gt;0,ISNUMBER(U56)),IF(M56&lt;U56,"실제 낙찰가 미만",IF(M56=U56,"실제 낙찰가 동액","실제 낙찰가 초과")),"")</f>
        <v/>
      </c>
      <c r="AB56" s="7">
        <f>IF(AND(ISNUMBER(M56),M56&gt;0,ISNUMBER(R56)),IF(M56&lt;R56,"상한가 미만",IF(M56=R56,"상한가 동액","상한가 초과")),"")</f>
        <v/>
      </c>
      <c r="AC56" s="2" t="n"/>
      <c r="AD56" s="7">
        <f>IF(COUNTA(A56:Q56,S56:V56,AC56)=0,"",IF(OR(A56="",B56="",C56="",NOT(ISNUMBER(G56))),"식별값 확인",IF(COUNTIFS(A$2:A$301,A56,B$2:B$301,B56,C$2:C$301,C56,G$2:G$301,G56)&gt;1,"중복 회차",IF(AND(ISNUMBER(K56),K56&gt;G56),"기일 후 예측",IF(AND(T56="낙찰",W56=""),"평가 입력 확인","")))))</f>
        <v/>
      </c>
    </row>
    <row r="57">
      <c r="A57" s="3" t="n"/>
      <c r="B57" s="3" t="n"/>
      <c r="C57" s="3" t="n"/>
      <c r="D57" s="3" t="n"/>
      <c r="E57" s="3" t="n"/>
      <c r="F57" s="3" t="n"/>
      <c r="G57" s="9" t="n"/>
      <c r="H57" s="10" t="n"/>
      <c r="I57" s="10" t="n"/>
      <c r="J57" s="3" t="n"/>
      <c r="K57" s="9" t="n"/>
      <c r="L57" s="10" t="n"/>
      <c r="M57" s="10" t="n"/>
      <c r="N57" s="3" t="n"/>
      <c r="O57" s="10" t="n"/>
      <c r="P57" s="10" t="n"/>
      <c r="Q57" s="10" t="n"/>
      <c r="R57" s="6">
        <f>IF(COUNT(O57:Q57)=3,O57-P57-Q57,"")</f>
        <v/>
      </c>
      <c r="S57" s="3" t="n"/>
      <c r="T57" s="3" t="n"/>
      <c r="U57" s="10" t="n"/>
      <c r="V57" s="3" t="n"/>
      <c r="W57" s="7">
        <f>IF(AND(A57&lt;&gt;"",B57&lt;&gt;"",C57&lt;&gt;"",ISNUMBER(G57),ISNUMBER(K57),K57&lt;=G57,K57&gt;0,T57="낙찰",ISNUMBER(L57),L57&gt;0,ISNUMBER(U57),U57&gt;0,COUNTIFS(A$2:A$301,A57,B$2:B$301,B57,C$2:C$301,C57,G$2:G$301,G57)=1),"평가 가능","")</f>
        <v/>
      </c>
      <c r="X57" s="8">
        <f>IF(W57="평가 가능",(L57-U57)/U57,"")</f>
        <v/>
      </c>
      <c r="Y57" s="8">
        <f>IF(W57="평가 가능",ABS(X57),"")</f>
        <v/>
      </c>
      <c r="Z57" s="7">
        <f>IF(AND(ISNUMBER(M57),M57&gt;0,ISNUMBER(I57)),IF(M57&lt;I57,"최저가 미달",IF(M57=I57,"최저가 동액","최저가 초과")),"")</f>
        <v/>
      </c>
      <c r="AA57" s="7">
        <f>IF(AND(T57="낙찰",ISNUMBER(M57),M57&gt;0,ISNUMBER(U57)),IF(M57&lt;U57,"실제 낙찰가 미만",IF(M57=U57,"실제 낙찰가 동액","실제 낙찰가 초과")),"")</f>
        <v/>
      </c>
      <c r="AB57" s="7">
        <f>IF(AND(ISNUMBER(M57),M57&gt;0,ISNUMBER(R57)),IF(M57&lt;R57,"상한가 미만",IF(M57=R57,"상한가 동액","상한가 초과")),"")</f>
        <v/>
      </c>
      <c r="AC57" s="3" t="n"/>
      <c r="AD57" s="7">
        <f>IF(COUNTA(A57:Q57,S57:V57,AC57)=0,"",IF(OR(A57="",B57="",C57="",NOT(ISNUMBER(G57))),"식별값 확인",IF(COUNTIFS(A$2:A$301,A57,B$2:B$301,B57,C$2:C$301,C57,G$2:G$301,G57)&gt;1,"중복 회차",IF(AND(ISNUMBER(K57),K57&gt;G57),"기일 후 예측",IF(AND(T57="낙찰",W57=""),"평가 입력 확인","")))))</f>
        <v/>
      </c>
    </row>
    <row r="58">
      <c r="A58" s="2" t="n"/>
      <c r="B58" s="2" t="n"/>
      <c r="C58" s="2" t="n"/>
      <c r="D58" s="2" t="n"/>
      <c r="E58" s="2" t="n"/>
      <c r="F58" s="2" t="n"/>
      <c r="G58" s="4" t="n"/>
      <c r="H58" s="5" t="n"/>
      <c r="I58" s="5" t="n"/>
      <c r="J58" s="2" t="n"/>
      <c r="K58" s="4" t="n"/>
      <c r="L58" s="5" t="n"/>
      <c r="M58" s="5" t="n"/>
      <c r="N58" s="2" t="n"/>
      <c r="O58" s="5" t="n"/>
      <c r="P58" s="5" t="n"/>
      <c r="Q58" s="5" t="n"/>
      <c r="R58" s="6">
        <f>IF(COUNT(O58:Q58)=3,O58-P58-Q58,"")</f>
        <v/>
      </c>
      <c r="S58" s="2" t="n"/>
      <c r="T58" s="2" t="n"/>
      <c r="U58" s="5" t="n"/>
      <c r="V58" s="2" t="n"/>
      <c r="W58" s="7">
        <f>IF(AND(A58&lt;&gt;"",B58&lt;&gt;"",C58&lt;&gt;"",ISNUMBER(G58),ISNUMBER(K58),K58&lt;=G58,K58&gt;0,T58="낙찰",ISNUMBER(L58),L58&gt;0,ISNUMBER(U58),U58&gt;0,COUNTIFS(A$2:A$301,A58,B$2:B$301,B58,C$2:C$301,C58,G$2:G$301,G58)=1),"평가 가능","")</f>
        <v/>
      </c>
      <c r="X58" s="8">
        <f>IF(W58="평가 가능",(L58-U58)/U58,"")</f>
        <v/>
      </c>
      <c r="Y58" s="8">
        <f>IF(W58="평가 가능",ABS(X58),"")</f>
        <v/>
      </c>
      <c r="Z58" s="7">
        <f>IF(AND(ISNUMBER(M58),M58&gt;0,ISNUMBER(I58)),IF(M58&lt;I58,"최저가 미달",IF(M58=I58,"최저가 동액","최저가 초과")),"")</f>
        <v/>
      </c>
      <c r="AA58" s="7">
        <f>IF(AND(T58="낙찰",ISNUMBER(M58),M58&gt;0,ISNUMBER(U58)),IF(M58&lt;U58,"실제 낙찰가 미만",IF(M58=U58,"실제 낙찰가 동액","실제 낙찰가 초과")),"")</f>
        <v/>
      </c>
      <c r="AB58" s="7">
        <f>IF(AND(ISNUMBER(M58),M58&gt;0,ISNUMBER(R58)),IF(M58&lt;R58,"상한가 미만",IF(M58=R58,"상한가 동액","상한가 초과")),"")</f>
        <v/>
      </c>
      <c r="AC58" s="2" t="n"/>
      <c r="AD58" s="7">
        <f>IF(COUNTA(A58:Q58,S58:V58,AC58)=0,"",IF(OR(A58="",B58="",C58="",NOT(ISNUMBER(G58))),"식별값 확인",IF(COUNTIFS(A$2:A$301,A58,B$2:B$301,B58,C$2:C$301,C58,G$2:G$301,G58)&gt;1,"중복 회차",IF(AND(ISNUMBER(K58),K58&gt;G58),"기일 후 예측",IF(AND(T58="낙찰",W58=""),"평가 입력 확인","")))))</f>
        <v/>
      </c>
    </row>
    <row r="59">
      <c r="A59" s="3" t="n"/>
      <c r="B59" s="3" t="n"/>
      <c r="C59" s="3" t="n"/>
      <c r="D59" s="3" t="n"/>
      <c r="E59" s="3" t="n"/>
      <c r="F59" s="3" t="n"/>
      <c r="G59" s="9" t="n"/>
      <c r="H59" s="10" t="n"/>
      <c r="I59" s="10" t="n"/>
      <c r="J59" s="3" t="n"/>
      <c r="K59" s="9" t="n"/>
      <c r="L59" s="10" t="n"/>
      <c r="M59" s="10" t="n"/>
      <c r="N59" s="3" t="n"/>
      <c r="O59" s="10" t="n"/>
      <c r="P59" s="10" t="n"/>
      <c r="Q59" s="10" t="n"/>
      <c r="R59" s="6">
        <f>IF(COUNT(O59:Q59)=3,O59-P59-Q59,"")</f>
        <v/>
      </c>
      <c r="S59" s="3" t="n"/>
      <c r="T59" s="3" t="n"/>
      <c r="U59" s="10" t="n"/>
      <c r="V59" s="3" t="n"/>
      <c r="W59" s="7">
        <f>IF(AND(A59&lt;&gt;"",B59&lt;&gt;"",C59&lt;&gt;"",ISNUMBER(G59),ISNUMBER(K59),K59&lt;=G59,K59&gt;0,T59="낙찰",ISNUMBER(L59),L59&gt;0,ISNUMBER(U59),U59&gt;0,COUNTIFS(A$2:A$301,A59,B$2:B$301,B59,C$2:C$301,C59,G$2:G$301,G59)=1),"평가 가능","")</f>
        <v/>
      </c>
      <c r="X59" s="8">
        <f>IF(W59="평가 가능",(L59-U59)/U59,"")</f>
        <v/>
      </c>
      <c r="Y59" s="8">
        <f>IF(W59="평가 가능",ABS(X59),"")</f>
        <v/>
      </c>
      <c r="Z59" s="7">
        <f>IF(AND(ISNUMBER(M59),M59&gt;0,ISNUMBER(I59)),IF(M59&lt;I59,"최저가 미달",IF(M59=I59,"최저가 동액","최저가 초과")),"")</f>
        <v/>
      </c>
      <c r="AA59" s="7">
        <f>IF(AND(T59="낙찰",ISNUMBER(M59),M59&gt;0,ISNUMBER(U59)),IF(M59&lt;U59,"실제 낙찰가 미만",IF(M59=U59,"실제 낙찰가 동액","실제 낙찰가 초과")),"")</f>
        <v/>
      </c>
      <c r="AB59" s="7">
        <f>IF(AND(ISNUMBER(M59),M59&gt;0,ISNUMBER(R59)),IF(M59&lt;R59,"상한가 미만",IF(M59=R59,"상한가 동액","상한가 초과")),"")</f>
        <v/>
      </c>
      <c r="AC59" s="3" t="n"/>
      <c r="AD59" s="7">
        <f>IF(COUNTA(A59:Q59,S59:V59,AC59)=0,"",IF(OR(A59="",B59="",C59="",NOT(ISNUMBER(G59))),"식별값 확인",IF(COUNTIFS(A$2:A$301,A59,B$2:B$301,B59,C$2:C$301,C59,G$2:G$301,G59)&gt;1,"중복 회차",IF(AND(ISNUMBER(K59),K59&gt;G59),"기일 후 예측",IF(AND(T59="낙찰",W59=""),"평가 입력 확인","")))))</f>
        <v/>
      </c>
    </row>
    <row r="60">
      <c r="A60" s="2" t="n"/>
      <c r="B60" s="2" t="n"/>
      <c r="C60" s="2" t="n"/>
      <c r="D60" s="2" t="n"/>
      <c r="E60" s="2" t="n"/>
      <c r="F60" s="2" t="n"/>
      <c r="G60" s="4" t="n"/>
      <c r="H60" s="5" t="n"/>
      <c r="I60" s="5" t="n"/>
      <c r="J60" s="2" t="n"/>
      <c r="K60" s="4" t="n"/>
      <c r="L60" s="5" t="n"/>
      <c r="M60" s="5" t="n"/>
      <c r="N60" s="2" t="n"/>
      <c r="O60" s="5" t="n"/>
      <c r="P60" s="5" t="n"/>
      <c r="Q60" s="5" t="n"/>
      <c r="R60" s="6">
        <f>IF(COUNT(O60:Q60)=3,O60-P60-Q60,"")</f>
        <v/>
      </c>
      <c r="S60" s="2" t="n"/>
      <c r="T60" s="2" t="n"/>
      <c r="U60" s="5" t="n"/>
      <c r="V60" s="2" t="n"/>
      <c r="W60" s="7">
        <f>IF(AND(A60&lt;&gt;"",B60&lt;&gt;"",C60&lt;&gt;"",ISNUMBER(G60),ISNUMBER(K60),K60&lt;=G60,K60&gt;0,T60="낙찰",ISNUMBER(L60),L60&gt;0,ISNUMBER(U60),U60&gt;0,COUNTIFS(A$2:A$301,A60,B$2:B$301,B60,C$2:C$301,C60,G$2:G$301,G60)=1),"평가 가능","")</f>
        <v/>
      </c>
      <c r="X60" s="8">
        <f>IF(W60="평가 가능",(L60-U60)/U60,"")</f>
        <v/>
      </c>
      <c r="Y60" s="8">
        <f>IF(W60="평가 가능",ABS(X60),"")</f>
        <v/>
      </c>
      <c r="Z60" s="7">
        <f>IF(AND(ISNUMBER(M60),M60&gt;0,ISNUMBER(I60)),IF(M60&lt;I60,"최저가 미달",IF(M60=I60,"최저가 동액","최저가 초과")),"")</f>
        <v/>
      </c>
      <c r="AA60" s="7">
        <f>IF(AND(T60="낙찰",ISNUMBER(M60),M60&gt;0,ISNUMBER(U60)),IF(M60&lt;U60,"실제 낙찰가 미만",IF(M60=U60,"실제 낙찰가 동액","실제 낙찰가 초과")),"")</f>
        <v/>
      </c>
      <c r="AB60" s="7">
        <f>IF(AND(ISNUMBER(M60),M60&gt;0,ISNUMBER(R60)),IF(M60&lt;R60,"상한가 미만",IF(M60=R60,"상한가 동액","상한가 초과")),"")</f>
        <v/>
      </c>
      <c r="AC60" s="2" t="n"/>
      <c r="AD60" s="7">
        <f>IF(COUNTA(A60:Q60,S60:V60,AC60)=0,"",IF(OR(A60="",B60="",C60="",NOT(ISNUMBER(G60))),"식별값 확인",IF(COUNTIFS(A$2:A$301,A60,B$2:B$301,B60,C$2:C$301,C60,G$2:G$301,G60)&gt;1,"중복 회차",IF(AND(ISNUMBER(K60),K60&gt;G60),"기일 후 예측",IF(AND(T60="낙찰",W60=""),"평가 입력 확인","")))))</f>
        <v/>
      </c>
    </row>
    <row r="61">
      <c r="A61" s="3" t="n"/>
      <c r="B61" s="3" t="n"/>
      <c r="C61" s="3" t="n"/>
      <c r="D61" s="3" t="n"/>
      <c r="E61" s="3" t="n"/>
      <c r="F61" s="3" t="n"/>
      <c r="G61" s="9" t="n"/>
      <c r="H61" s="10" t="n"/>
      <c r="I61" s="10" t="n"/>
      <c r="J61" s="3" t="n"/>
      <c r="K61" s="9" t="n"/>
      <c r="L61" s="10" t="n"/>
      <c r="M61" s="10" t="n"/>
      <c r="N61" s="3" t="n"/>
      <c r="O61" s="10" t="n"/>
      <c r="P61" s="10" t="n"/>
      <c r="Q61" s="10" t="n"/>
      <c r="R61" s="6">
        <f>IF(COUNT(O61:Q61)=3,O61-P61-Q61,"")</f>
        <v/>
      </c>
      <c r="S61" s="3" t="n"/>
      <c r="T61" s="3" t="n"/>
      <c r="U61" s="10" t="n"/>
      <c r="V61" s="3" t="n"/>
      <c r="W61" s="7">
        <f>IF(AND(A61&lt;&gt;"",B61&lt;&gt;"",C61&lt;&gt;"",ISNUMBER(G61),ISNUMBER(K61),K61&lt;=G61,K61&gt;0,T61="낙찰",ISNUMBER(L61),L61&gt;0,ISNUMBER(U61),U61&gt;0,COUNTIFS(A$2:A$301,A61,B$2:B$301,B61,C$2:C$301,C61,G$2:G$301,G61)=1),"평가 가능","")</f>
        <v/>
      </c>
      <c r="X61" s="8">
        <f>IF(W61="평가 가능",(L61-U61)/U61,"")</f>
        <v/>
      </c>
      <c r="Y61" s="8">
        <f>IF(W61="평가 가능",ABS(X61),"")</f>
        <v/>
      </c>
      <c r="Z61" s="7">
        <f>IF(AND(ISNUMBER(M61),M61&gt;0,ISNUMBER(I61)),IF(M61&lt;I61,"최저가 미달",IF(M61=I61,"최저가 동액","최저가 초과")),"")</f>
        <v/>
      </c>
      <c r="AA61" s="7">
        <f>IF(AND(T61="낙찰",ISNUMBER(M61),M61&gt;0,ISNUMBER(U61)),IF(M61&lt;U61,"실제 낙찰가 미만",IF(M61=U61,"실제 낙찰가 동액","실제 낙찰가 초과")),"")</f>
        <v/>
      </c>
      <c r="AB61" s="7">
        <f>IF(AND(ISNUMBER(M61),M61&gt;0,ISNUMBER(R61)),IF(M61&lt;R61,"상한가 미만",IF(M61=R61,"상한가 동액","상한가 초과")),"")</f>
        <v/>
      </c>
      <c r="AC61" s="3" t="n"/>
      <c r="AD61" s="7">
        <f>IF(COUNTA(A61:Q61,S61:V61,AC61)=0,"",IF(OR(A61="",B61="",C61="",NOT(ISNUMBER(G61))),"식별값 확인",IF(COUNTIFS(A$2:A$301,A61,B$2:B$301,B61,C$2:C$301,C61,G$2:G$301,G61)&gt;1,"중복 회차",IF(AND(ISNUMBER(K61),K61&gt;G61),"기일 후 예측",IF(AND(T61="낙찰",W61=""),"평가 입력 확인","")))))</f>
        <v/>
      </c>
    </row>
    <row r="62">
      <c r="A62" s="2" t="n"/>
      <c r="B62" s="2" t="n"/>
      <c r="C62" s="2" t="n"/>
      <c r="D62" s="2" t="n"/>
      <c r="E62" s="2" t="n"/>
      <c r="F62" s="2" t="n"/>
      <c r="G62" s="4" t="n"/>
      <c r="H62" s="5" t="n"/>
      <c r="I62" s="5" t="n"/>
      <c r="J62" s="2" t="n"/>
      <c r="K62" s="4" t="n"/>
      <c r="L62" s="5" t="n"/>
      <c r="M62" s="5" t="n"/>
      <c r="N62" s="2" t="n"/>
      <c r="O62" s="5" t="n"/>
      <c r="P62" s="5" t="n"/>
      <c r="Q62" s="5" t="n"/>
      <c r="R62" s="6">
        <f>IF(COUNT(O62:Q62)=3,O62-P62-Q62,"")</f>
        <v/>
      </c>
      <c r="S62" s="2" t="n"/>
      <c r="T62" s="2" t="n"/>
      <c r="U62" s="5" t="n"/>
      <c r="V62" s="2" t="n"/>
      <c r="W62" s="7">
        <f>IF(AND(A62&lt;&gt;"",B62&lt;&gt;"",C62&lt;&gt;"",ISNUMBER(G62),ISNUMBER(K62),K62&lt;=G62,K62&gt;0,T62="낙찰",ISNUMBER(L62),L62&gt;0,ISNUMBER(U62),U62&gt;0,COUNTIFS(A$2:A$301,A62,B$2:B$301,B62,C$2:C$301,C62,G$2:G$301,G62)=1),"평가 가능","")</f>
        <v/>
      </c>
      <c r="X62" s="8">
        <f>IF(W62="평가 가능",(L62-U62)/U62,"")</f>
        <v/>
      </c>
      <c r="Y62" s="8">
        <f>IF(W62="평가 가능",ABS(X62),"")</f>
        <v/>
      </c>
      <c r="Z62" s="7">
        <f>IF(AND(ISNUMBER(M62),M62&gt;0,ISNUMBER(I62)),IF(M62&lt;I62,"최저가 미달",IF(M62=I62,"최저가 동액","최저가 초과")),"")</f>
        <v/>
      </c>
      <c r="AA62" s="7">
        <f>IF(AND(T62="낙찰",ISNUMBER(M62),M62&gt;0,ISNUMBER(U62)),IF(M62&lt;U62,"실제 낙찰가 미만",IF(M62=U62,"실제 낙찰가 동액","실제 낙찰가 초과")),"")</f>
        <v/>
      </c>
      <c r="AB62" s="7">
        <f>IF(AND(ISNUMBER(M62),M62&gt;0,ISNUMBER(R62)),IF(M62&lt;R62,"상한가 미만",IF(M62=R62,"상한가 동액","상한가 초과")),"")</f>
        <v/>
      </c>
      <c r="AC62" s="2" t="n"/>
      <c r="AD62" s="7">
        <f>IF(COUNTA(A62:Q62,S62:V62,AC62)=0,"",IF(OR(A62="",B62="",C62="",NOT(ISNUMBER(G62))),"식별값 확인",IF(COUNTIFS(A$2:A$301,A62,B$2:B$301,B62,C$2:C$301,C62,G$2:G$301,G62)&gt;1,"중복 회차",IF(AND(ISNUMBER(K62),K62&gt;G62),"기일 후 예측",IF(AND(T62="낙찰",W62=""),"평가 입력 확인","")))))</f>
        <v/>
      </c>
    </row>
    <row r="63">
      <c r="A63" s="3" t="n"/>
      <c r="B63" s="3" t="n"/>
      <c r="C63" s="3" t="n"/>
      <c r="D63" s="3" t="n"/>
      <c r="E63" s="3" t="n"/>
      <c r="F63" s="3" t="n"/>
      <c r="G63" s="9" t="n"/>
      <c r="H63" s="10" t="n"/>
      <c r="I63" s="10" t="n"/>
      <c r="J63" s="3" t="n"/>
      <c r="K63" s="9" t="n"/>
      <c r="L63" s="10" t="n"/>
      <c r="M63" s="10" t="n"/>
      <c r="N63" s="3" t="n"/>
      <c r="O63" s="10" t="n"/>
      <c r="P63" s="10" t="n"/>
      <c r="Q63" s="10" t="n"/>
      <c r="R63" s="6">
        <f>IF(COUNT(O63:Q63)=3,O63-P63-Q63,"")</f>
        <v/>
      </c>
      <c r="S63" s="3" t="n"/>
      <c r="T63" s="3" t="n"/>
      <c r="U63" s="10" t="n"/>
      <c r="V63" s="3" t="n"/>
      <c r="W63" s="7">
        <f>IF(AND(A63&lt;&gt;"",B63&lt;&gt;"",C63&lt;&gt;"",ISNUMBER(G63),ISNUMBER(K63),K63&lt;=G63,K63&gt;0,T63="낙찰",ISNUMBER(L63),L63&gt;0,ISNUMBER(U63),U63&gt;0,COUNTIFS(A$2:A$301,A63,B$2:B$301,B63,C$2:C$301,C63,G$2:G$301,G63)=1),"평가 가능","")</f>
        <v/>
      </c>
      <c r="X63" s="8">
        <f>IF(W63="평가 가능",(L63-U63)/U63,"")</f>
        <v/>
      </c>
      <c r="Y63" s="8">
        <f>IF(W63="평가 가능",ABS(X63),"")</f>
        <v/>
      </c>
      <c r="Z63" s="7">
        <f>IF(AND(ISNUMBER(M63),M63&gt;0,ISNUMBER(I63)),IF(M63&lt;I63,"최저가 미달",IF(M63=I63,"최저가 동액","최저가 초과")),"")</f>
        <v/>
      </c>
      <c r="AA63" s="7">
        <f>IF(AND(T63="낙찰",ISNUMBER(M63),M63&gt;0,ISNUMBER(U63)),IF(M63&lt;U63,"실제 낙찰가 미만",IF(M63=U63,"실제 낙찰가 동액","실제 낙찰가 초과")),"")</f>
        <v/>
      </c>
      <c r="AB63" s="7">
        <f>IF(AND(ISNUMBER(M63),M63&gt;0,ISNUMBER(R63)),IF(M63&lt;R63,"상한가 미만",IF(M63=R63,"상한가 동액","상한가 초과")),"")</f>
        <v/>
      </c>
      <c r="AC63" s="3" t="n"/>
      <c r="AD63" s="7">
        <f>IF(COUNTA(A63:Q63,S63:V63,AC63)=0,"",IF(OR(A63="",B63="",C63="",NOT(ISNUMBER(G63))),"식별값 확인",IF(COUNTIFS(A$2:A$301,A63,B$2:B$301,B63,C$2:C$301,C63,G$2:G$301,G63)&gt;1,"중복 회차",IF(AND(ISNUMBER(K63),K63&gt;G63),"기일 후 예측",IF(AND(T63="낙찰",W63=""),"평가 입력 확인","")))))</f>
        <v/>
      </c>
    </row>
    <row r="64">
      <c r="A64" s="2" t="n"/>
      <c r="B64" s="2" t="n"/>
      <c r="C64" s="2" t="n"/>
      <c r="D64" s="2" t="n"/>
      <c r="E64" s="2" t="n"/>
      <c r="F64" s="2" t="n"/>
      <c r="G64" s="4" t="n"/>
      <c r="H64" s="5" t="n"/>
      <c r="I64" s="5" t="n"/>
      <c r="J64" s="2" t="n"/>
      <c r="K64" s="4" t="n"/>
      <c r="L64" s="5" t="n"/>
      <c r="M64" s="5" t="n"/>
      <c r="N64" s="2" t="n"/>
      <c r="O64" s="5" t="n"/>
      <c r="P64" s="5" t="n"/>
      <c r="Q64" s="5" t="n"/>
      <c r="R64" s="6">
        <f>IF(COUNT(O64:Q64)=3,O64-P64-Q64,"")</f>
        <v/>
      </c>
      <c r="S64" s="2" t="n"/>
      <c r="T64" s="2" t="n"/>
      <c r="U64" s="5" t="n"/>
      <c r="V64" s="2" t="n"/>
      <c r="W64" s="7">
        <f>IF(AND(A64&lt;&gt;"",B64&lt;&gt;"",C64&lt;&gt;"",ISNUMBER(G64),ISNUMBER(K64),K64&lt;=G64,K64&gt;0,T64="낙찰",ISNUMBER(L64),L64&gt;0,ISNUMBER(U64),U64&gt;0,COUNTIFS(A$2:A$301,A64,B$2:B$301,B64,C$2:C$301,C64,G$2:G$301,G64)=1),"평가 가능","")</f>
        <v/>
      </c>
      <c r="X64" s="8">
        <f>IF(W64="평가 가능",(L64-U64)/U64,"")</f>
        <v/>
      </c>
      <c r="Y64" s="8">
        <f>IF(W64="평가 가능",ABS(X64),"")</f>
        <v/>
      </c>
      <c r="Z64" s="7">
        <f>IF(AND(ISNUMBER(M64),M64&gt;0,ISNUMBER(I64)),IF(M64&lt;I64,"최저가 미달",IF(M64=I64,"최저가 동액","최저가 초과")),"")</f>
        <v/>
      </c>
      <c r="AA64" s="7">
        <f>IF(AND(T64="낙찰",ISNUMBER(M64),M64&gt;0,ISNUMBER(U64)),IF(M64&lt;U64,"실제 낙찰가 미만",IF(M64=U64,"실제 낙찰가 동액","실제 낙찰가 초과")),"")</f>
        <v/>
      </c>
      <c r="AB64" s="7">
        <f>IF(AND(ISNUMBER(M64),M64&gt;0,ISNUMBER(R64)),IF(M64&lt;R64,"상한가 미만",IF(M64=R64,"상한가 동액","상한가 초과")),"")</f>
        <v/>
      </c>
      <c r="AC64" s="2" t="n"/>
      <c r="AD64" s="7">
        <f>IF(COUNTA(A64:Q64,S64:V64,AC64)=0,"",IF(OR(A64="",B64="",C64="",NOT(ISNUMBER(G64))),"식별값 확인",IF(COUNTIFS(A$2:A$301,A64,B$2:B$301,B64,C$2:C$301,C64,G$2:G$301,G64)&gt;1,"중복 회차",IF(AND(ISNUMBER(K64),K64&gt;G64),"기일 후 예측",IF(AND(T64="낙찰",W64=""),"평가 입력 확인","")))))</f>
        <v/>
      </c>
    </row>
    <row r="65">
      <c r="A65" s="3" t="n"/>
      <c r="B65" s="3" t="n"/>
      <c r="C65" s="3" t="n"/>
      <c r="D65" s="3" t="n"/>
      <c r="E65" s="3" t="n"/>
      <c r="F65" s="3" t="n"/>
      <c r="G65" s="9" t="n"/>
      <c r="H65" s="10" t="n"/>
      <c r="I65" s="10" t="n"/>
      <c r="J65" s="3" t="n"/>
      <c r="K65" s="9" t="n"/>
      <c r="L65" s="10" t="n"/>
      <c r="M65" s="10" t="n"/>
      <c r="N65" s="3" t="n"/>
      <c r="O65" s="10" t="n"/>
      <c r="P65" s="10" t="n"/>
      <c r="Q65" s="10" t="n"/>
      <c r="R65" s="6">
        <f>IF(COUNT(O65:Q65)=3,O65-P65-Q65,"")</f>
        <v/>
      </c>
      <c r="S65" s="3" t="n"/>
      <c r="T65" s="3" t="n"/>
      <c r="U65" s="10" t="n"/>
      <c r="V65" s="3" t="n"/>
      <c r="W65" s="7">
        <f>IF(AND(A65&lt;&gt;"",B65&lt;&gt;"",C65&lt;&gt;"",ISNUMBER(G65),ISNUMBER(K65),K65&lt;=G65,K65&gt;0,T65="낙찰",ISNUMBER(L65),L65&gt;0,ISNUMBER(U65),U65&gt;0,COUNTIFS(A$2:A$301,A65,B$2:B$301,B65,C$2:C$301,C65,G$2:G$301,G65)=1),"평가 가능","")</f>
        <v/>
      </c>
      <c r="X65" s="8">
        <f>IF(W65="평가 가능",(L65-U65)/U65,"")</f>
        <v/>
      </c>
      <c r="Y65" s="8">
        <f>IF(W65="평가 가능",ABS(X65),"")</f>
        <v/>
      </c>
      <c r="Z65" s="7">
        <f>IF(AND(ISNUMBER(M65),M65&gt;0,ISNUMBER(I65)),IF(M65&lt;I65,"최저가 미달",IF(M65=I65,"최저가 동액","최저가 초과")),"")</f>
        <v/>
      </c>
      <c r="AA65" s="7">
        <f>IF(AND(T65="낙찰",ISNUMBER(M65),M65&gt;0,ISNUMBER(U65)),IF(M65&lt;U65,"실제 낙찰가 미만",IF(M65=U65,"실제 낙찰가 동액","실제 낙찰가 초과")),"")</f>
        <v/>
      </c>
      <c r="AB65" s="7">
        <f>IF(AND(ISNUMBER(M65),M65&gt;0,ISNUMBER(R65)),IF(M65&lt;R65,"상한가 미만",IF(M65=R65,"상한가 동액","상한가 초과")),"")</f>
        <v/>
      </c>
      <c r="AC65" s="3" t="n"/>
      <c r="AD65" s="7">
        <f>IF(COUNTA(A65:Q65,S65:V65,AC65)=0,"",IF(OR(A65="",B65="",C65="",NOT(ISNUMBER(G65))),"식별값 확인",IF(COUNTIFS(A$2:A$301,A65,B$2:B$301,B65,C$2:C$301,C65,G$2:G$301,G65)&gt;1,"중복 회차",IF(AND(ISNUMBER(K65),K65&gt;G65),"기일 후 예측",IF(AND(T65="낙찰",W65=""),"평가 입력 확인","")))))</f>
        <v/>
      </c>
    </row>
    <row r="66">
      <c r="A66" s="2" t="n"/>
      <c r="B66" s="2" t="n"/>
      <c r="C66" s="2" t="n"/>
      <c r="D66" s="2" t="n"/>
      <c r="E66" s="2" t="n"/>
      <c r="F66" s="2" t="n"/>
      <c r="G66" s="4" t="n"/>
      <c r="H66" s="5" t="n"/>
      <c r="I66" s="5" t="n"/>
      <c r="J66" s="2" t="n"/>
      <c r="K66" s="4" t="n"/>
      <c r="L66" s="5" t="n"/>
      <c r="M66" s="5" t="n"/>
      <c r="N66" s="2" t="n"/>
      <c r="O66" s="5" t="n"/>
      <c r="P66" s="5" t="n"/>
      <c r="Q66" s="5" t="n"/>
      <c r="R66" s="6">
        <f>IF(COUNT(O66:Q66)=3,O66-P66-Q66,"")</f>
        <v/>
      </c>
      <c r="S66" s="2" t="n"/>
      <c r="T66" s="2" t="n"/>
      <c r="U66" s="5" t="n"/>
      <c r="V66" s="2" t="n"/>
      <c r="W66" s="7">
        <f>IF(AND(A66&lt;&gt;"",B66&lt;&gt;"",C66&lt;&gt;"",ISNUMBER(G66),ISNUMBER(K66),K66&lt;=G66,K66&gt;0,T66="낙찰",ISNUMBER(L66),L66&gt;0,ISNUMBER(U66),U66&gt;0,COUNTIFS(A$2:A$301,A66,B$2:B$301,B66,C$2:C$301,C66,G$2:G$301,G66)=1),"평가 가능","")</f>
        <v/>
      </c>
      <c r="X66" s="8">
        <f>IF(W66="평가 가능",(L66-U66)/U66,"")</f>
        <v/>
      </c>
      <c r="Y66" s="8">
        <f>IF(W66="평가 가능",ABS(X66),"")</f>
        <v/>
      </c>
      <c r="Z66" s="7">
        <f>IF(AND(ISNUMBER(M66),M66&gt;0,ISNUMBER(I66)),IF(M66&lt;I66,"최저가 미달",IF(M66=I66,"최저가 동액","최저가 초과")),"")</f>
        <v/>
      </c>
      <c r="AA66" s="7">
        <f>IF(AND(T66="낙찰",ISNUMBER(M66),M66&gt;0,ISNUMBER(U66)),IF(M66&lt;U66,"실제 낙찰가 미만",IF(M66=U66,"실제 낙찰가 동액","실제 낙찰가 초과")),"")</f>
        <v/>
      </c>
      <c r="AB66" s="7">
        <f>IF(AND(ISNUMBER(M66),M66&gt;0,ISNUMBER(R66)),IF(M66&lt;R66,"상한가 미만",IF(M66=R66,"상한가 동액","상한가 초과")),"")</f>
        <v/>
      </c>
      <c r="AC66" s="2" t="n"/>
      <c r="AD66" s="7">
        <f>IF(COUNTA(A66:Q66,S66:V66,AC66)=0,"",IF(OR(A66="",B66="",C66="",NOT(ISNUMBER(G66))),"식별값 확인",IF(COUNTIFS(A$2:A$301,A66,B$2:B$301,B66,C$2:C$301,C66,G$2:G$301,G66)&gt;1,"중복 회차",IF(AND(ISNUMBER(K66),K66&gt;G66),"기일 후 예측",IF(AND(T66="낙찰",W66=""),"평가 입력 확인","")))))</f>
        <v/>
      </c>
    </row>
    <row r="67">
      <c r="A67" s="3" t="n"/>
      <c r="B67" s="3" t="n"/>
      <c r="C67" s="3" t="n"/>
      <c r="D67" s="3" t="n"/>
      <c r="E67" s="3" t="n"/>
      <c r="F67" s="3" t="n"/>
      <c r="G67" s="9" t="n"/>
      <c r="H67" s="10" t="n"/>
      <c r="I67" s="10" t="n"/>
      <c r="J67" s="3" t="n"/>
      <c r="K67" s="9" t="n"/>
      <c r="L67" s="10" t="n"/>
      <c r="M67" s="10" t="n"/>
      <c r="N67" s="3" t="n"/>
      <c r="O67" s="10" t="n"/>
      <c r="P67" s="10" t="n"/>
      <c r="Q67" s="10" t="n"/>
      <c r="R67" s="6">
        <f>IF(COUNT(O67:Q67)=3,O67-P67-Q67,"")</f>
        <v/>
      </c>
      <c r="S67" s="3" t="n"/>
      <c r="T67" s="3" t="n"/>
      <c r="U67" s="10" t="n"/>
      <c r="V67" s="3" t="n"/>
      <c r="W67" s="7">
        <f>IF(AND(A67&lt;&gt;"",B67&lt;&gt;"",C67&lt;&gt;"",ISNUMBER(G67),ISNUMBER(K67),K67&lt;=G67,K67&gt;0,T67="낙찰",ISNUMBER(L67),L67&gt;0,ISNUMBER(U67),U67&gt;0,COUNTIFS(A$2:A$301,A67,B$2:B$301,B67,C$2:C$301,C67,G$2:G$301,G67)=1),"평가 가능","")</f>
        <v/>
      </c>
      <c r="X67" s="8">
        <f>IF(W67="평가 가능",(L67-U67)/U67,"")</f>
        <v/>
      </c>
      <c r="Y67" s="8">
        <f>IF(W67="평가 가능",ABS(X67),"")</f>
        <v/>
      </c>
      <c r="Z67" s="7">
        <f>IF(AND(ISNUMBER(M67),M67&gt;0,ISNUMBER(I67)),IF(M67&lt;I67,"최저가 미달",IF(M67=I67,"최저가 동액","최저가 초과")),"")</f>
        <v/>
      </c>
      <c r="AA67" s="7">
        <f>IF(AND(T67="낙찰",ISNUMBER(M67),M67&gt;0,ISNUMBER(U67)),IF(M67&lt;U67,"실제 낙찰가 미만",IF(M67=U67,"실제 낙찰가 동액","실제 낙찰가 초과")),"")</f>
        <v/>
      </c>
      <c r="AB67" s="7">
        <f>IF(AND(ISNUMBER(M67),M67&gt;0,ISNUMBER(R67)),IF(M67&lt;R67,"상한가 미만",IF(M67=R67,"상한가 동액","상한가 초과")),"")</f>
        <v/>
      </c>
      <c r="AC67" s="3" t="n"/>
      <c r="AD67" s="7">
        <f>IF(COUNTA(A67:Q67,S67:V67,AC67)=0,"",IF(OR(A67="",B67="",C67="",NOT(ISNUMBER(G67))),"식별값 확인",IF(COUNTIFS(A$2:A$301,A67,B$2:B$301,B67,C$2:C$301,C67,G$2:G$301,G67)&gt;1,"중복 회차",IF(AND(ISNUMBER(K67),K67&gt;G67),"기일 후 예측",IF(AND(T67="낙찰",W67=""),"평가 입력 확인","")))))</f>
        <v/>
      </c>
    </row>
    <row r="68">
      <c r="A68" s="2" t="n"/>
      <c r="B68" s="2" t="n"/>
      <c r="C68" s="2" t="n"/>
      <c r="D68" s="2" t="n"/>
      <c r="E68" s="2" t="n"/>
      <c r="F68" s="2" t="n"/>
      <c r="G68" s="4" t="n"/>
      <c r="H68" s="5" t="n"/>
      <c r="I68" s="5" t="n"/>
      <c r="J68" s="2" t="n"/>
      <c r="K68" s="4" t="n"/>
      <c r="L68" s="5" t="n"/>
      <c r="M68" s="5" t="n"/>
      <c r="N68" s="2" t="n"/>
      <c r="O68" s="5" t="n"/>
      <c r="P68" s="5" t="n"/>
      <c r="Q68" s="5" t="n"/>
      <c r="R68" s="6">
        <f>IF(COUNT(O68:Q68)=3,O68-P68-Q68,"")</f>
        <v/>
      </c>
      <c r="S68" s="2" t="n"/>
      <c r="T68" s="2" t="n"/>
      <c r="U68" s="5" t="n"/>
      <c r="V68" s="2" t="n"/>
      <c r="W68" s="7">
        <f>IF(AND(A68&lt;&gt;"",B68&lt;&gt;"",C68&lt;&gt;"",ISNUMBER(G68),ISNUMBER(K68),K68&lt;=G68,K68&gt;0,T68="낙찰",ISNUMBER(L68),L68&gt;0,ISNUMBER(U68),U68&gt;0,COUNTIFS(A$2:A$301,A68,B$2:B$301,B68,C$2:C$301,C68,G$2:G$301,G68)=1),"평가 가능","")</f>
        <v/>
      </c>
      <c r="X68" s="8">
        <f>IF(W68="평가 가능",(L68-U68)/U68,"")</f>
        <v/>
      </c>
      <c r="Y68" s="8">
        <f>IF(W68="평가 가능",ABS(X68),"")</f>
        <v/>
      </c>
      <c r="Z68" s="7">
        <f>IF(AND(ISNUMBER(M68),M68&gt;0,ISNUMBER(I68)),IF(M68&lt;I68,"최저가 미달",IF(M68=I68,"최저가 동액","최저가 초과")),"")</f>
        <v/>
      </c>
      <c r="AA68" s="7">
        <f>IF(AND(T68="낙찰",ISNUMBER(M68),M68&gt;0,ISNUMBER(U68)),IF(M68&lt;U68,"실제 낙찰가 미만",IF(M68=U68,"실제 낙찰가 동액","실제 낙찰가 초과")),"")</f>
        <v/>
      </c>
      <c r="AB68" s="7">
        <f>IF(AND(ISNUMBER(M68),M68&gt;0,ISNUMBER(R68)),IF(M68&lt;R68,"상한가 미만",IF(M68=R68,"상한가 동액","상한가 초과")),"")</f>
        <v/>
      </c>
      <c r="AC68" s="2" t="n"/>
      <c r="AD68" s="7">
        <f>IF(COUNTA(A68:Q68,S68:V68,AC68)=0,"",IF(OR(A68="",B68="",C68="",NOT(ISNUMBER(G68))),"식별값 확인",IF(COUNTIFS(A$2:A$301,A68,B$2:B$301,B68,C$2:C$301,C68,G$2:G$301,G68)&gt;1,"중복 회차",IF(AND(ISNUMBER(K68),K68&gt;G68),"기일 후 예측",IF(AND(T68="낙찰",W68=""),"평가 입력 확인","")))))</f>
        <v/>
      </c>
    </row>
    <row r="69">
      <c r="A69" s="3" t="n"/>
      <c r="B69" s="3" t="n"/>
      <c r="C69" s="3" t="n"/>
      <c r="D69" s="3" t="n"/>
      <c r="E69" s="3" t="n"/>
      <c r="F69" s="3" t="n"/>
      <c r="G69" s="9" t="n"/>
      <c r="H69" s="10" t="n"/>
      <c r="I69" s="10" t="n"/>
      <c r="J69" s="3" t="n"/>
      <c r="K69" s="9" t="n"/>
      <c r="L69" s="10" t="n"/>
      <c r="M69" s="10" t="n"/>
      <c r="N69" s="3" t="n"/>
      <c r="O69" s="10" t="n"/>
      <c r="P69" s="10" t="n"/>
      <c r="Q69" s="10" t="n"/>
      <c r="R69" s="6">
        <f>IF(COUNT(O69:Q69)=3,O69-P69-Q69,"")</f>
        <v/>
      </c>
      <c r="S69" s="3" t="n"/>
      <c r="T69" s="3" t="n"/>
      <c r="U69" s="10" t="n"/>
      <c r="V69" s="3" t="n"/>
      <c r="W69" s="7">
        <f>IF(AND(A69&lt;&gt;"",B69&lt;&gt;"",C69&lt;&gt;"",ISNUMBER(G69),ISNUMBER(K69),K69&lt;=G69,K69&gt;0,T69="낙찰",ISNUMBER(L69),L69&gt;0,ISNUMBER(U69),U69&gt;0,COUNTIFS(A$2:A$301,A69,B$2:B$301,B69,C$2:C$301,C69,G$2:G$301,G69)=1),"평가 가능","")</f>
        <v/>
      </c>
      <c r="X69" s="8">
        <f>IF(W69="평가 가능",(L69-U69)/U69,"")</f>
        <v/>
      </c>
      <c r="Y69" s="8">
        <f>IF(W69="평가 가능",ABS(X69),"")</f>
        <v/>
      </c>
      <c r="Z69" s="7">
        <f>IF(AND(ISNUMBER(M69),M69&gt;0,ISNUMBER(I69)),IF(M69&lt;I69,"최저가 미달",IF(M69=I69,"최저가 동액","최저가 초과")),"")</f>
        <v/>
      </c>
      <c r="AA69" s="7">
        <f>IF(AND(T69="낙찰",ISNUMBER(M69),M69&gt;0,ISNUMBER(U69)),IF(M69&lt;U69,"실제 낙찰가 미만",IF(M69=U69,"실제 낙찰가 동액","실제 낙찰가 초과")),"")</f>
        <v/>
      </c>
      <c r="AB69" s="7">
        <f>IF(AND(ISNUMBER(M69),M69&gt;0,ISNUMBER(R69)),IF(M69&lt;R69,"상한가 미만",IF(M69=R69,"상한가 동액","상한가 초과")),"")</f>
        <v/>
      </c>
      <c r="AC69" s="3" t="n"/>
      <c r="AD69" s="7">
        <f>IF(COUNTA(A69:Q69,S69:V69,AC69)=0,"",IF(OR(A69="",B69="",C69="",NOT(ISNUMBER(G69))),"식별값 확인",IF(COUNTIFS(A$2:A$301,A69,B$2:B$301,B69,C$2:C$301,C69,G$2:G$301,G69)&gt;1,"중복 회차",IF(AND(ISNUMBER(K69),K69&gt;G69),"기일 후 예측",IF(AND(T69="낙찰",W69=""),"평가 입력 확인","")))))</f>
        <v/>
      </c>
    </row>
    <row r="70">
      <c r="A70" s="2" t="n"/>
      <c r="B70" s="2" t="n"/>
      <c r="C70" s="2" t="n"/>
      <c r="D70" s="2" t="n"/>
      <c r="E70" s="2" t="n"/>
      <c r="F70" s="2" t="n"/>
      <c r="G70" s="4" t="n"/>
      <c r="H70" s="5" t="n"/>
      <c r="I70" s="5" t="n"/>
      <c r="J70" s="2" t="n"/>
      <c r="K70" s="4" t="n"/>
      <c r="L70" s="5" t="n"/>
      <c r="M70" s="5" t="n"/>
      <c r="N70" s="2" t="n"/>
      <c r="O70" s="5" t="n"/>
      <c r="P70" s="5" t="n"/>
      <c r="Q70" s="5" t="n"/>
      <c r="R70" s="6">
        <f>IF(COUNT(O70:Q70)=3,O70-P70-Q70,"")</f>
        <v/>
      </c>
      <c r="S70" s="2" t="n"/>
      <c r="T70" s="2" t="n"/>
      <c r="U70" s="5" t="n"/>
      <c r="V70" s="2" t="n"/>
      <c r="W70" s="7">
        <f>IF(AND(A70&lt;&gt;"",B70&lt;&gt;"",C70&lt;&gt;"",ISNUMBER(G70),ISNUMBER(K70),K70&lt;=G70,K70&gt;0,T70="낙찰",ISNUMBER(L70),L70&gt;0,ISNUMBER(U70),U70&gt;0,COUNTIFS(A$2:A$301,A70,B$2:B$301,B70,C$2:C$301,C70,G$2:G$301,G70)=1),"평가 가능","")</f>
        <v/>
      </c>
      <c r="X70" s="8">
        <f>IF(W70="평가 가능",(L70-U70)/U70,"")</f>
        <v/>
      </c>
      <c r="Y70" s="8">
        <f>IF(W70="평가 가능",ABS(X70),"")</f>
        <v/>
      </c>
      <c r="Z70" s="7">
        <f>IF(AND(ISNUMBER(M70),M70&gt;0,ISNUMBER(I70)),IF(M70&lt;I70,"최저가 미달",IF(M70=I70,"최저가 동액","최저가 초과")),"")</f>
        <v/>
      </c>
      <c r="AA70" s="7">
        <f>IF(AND(T70="낙찰",ISNUMBER(M70),M70&gt;0,ISNUMBER(U70)),IF(M70&lt;U70,"실제 낙찰가 미만",IF(M70=U70,"실제 낙찰가 동액","실제 낙찰가 초과")),"")</f>
        <v/>
      </c>
      <c r="AB70" s="7">
        <f>IF(AND(ISNUMBER(M70),M70&gt;0,ISNUMBER(R70)),IF(M70&lt;R70,"상한가 미만",IF(M70=R70,"상한가 동액","상한가 초과")),"")</f>
        <v/>
      </c>
      <c r="AC70" s="2" t="n"/>
      <c r="AD70" s="7">
        <f>IF(COUNTA(A70:Q70,S70:V70,AC70)=0,"",IF(OR(A70="",B70="",C70="",NOT(ISNUMBER(G70))),"식별값 확인",IF(COUNTIFS(A$2:A$301,A70,B$2:B$301,B70,C$2:C$301,C70,G$2:G$301,G70)&gt;1,"중복 회차",IF(AND(ISNUMBER(K70),K70&gt;G70),"기일 후 예측",IF(AND(T70="낙찰",W70=""),"평가 입력 확인","")))))</f>
        <v/>
      </c>
    </row>
    <row r="71">
      <c r="A71" s="3" t="n"/>
      <c r="B71" s="3" t="n"/>
      <c r="C71" s="3" t="n"/>
      <c r="D71" s="3" t="n"/>
      <c r="E71" s="3" t="n"/>
      <c r="F71" s="3" t="n"/>
      <c r="G71" s="9" t="n"/>
      <c r="H71" s="10" t="n"/>
      <c r="I71" s="10" t="n"/>
      <c r="J71" s="3" t="n"/>
      <c r="K71" s="9" t="n"/>
      <c r="L71" s="10" t="n"/>
      <c r="M71" s="10" t="n"/>
      <c r="N71" s="3" t="n"/>
      <c r="O71" s="10" t="n"/>
      <c r="P71" s="10" t="n"/>
      <c r="Q71" s="10" t="n"/>
      <c r="R71" s="6">
        <f>IF(COUNT(O71:Q71)=3,O71-P71-Q71,"")</f>
        <v/>
      </c>
      <c r="S71" s="3" t="n"/>
      <c r="T71" s="3" t="n"/>
      <c r="U71" s="10" t="n"/>
      <c r="V71" s="3" t="n"/>
      <c r="W71" s="7">
        <f>IF(AND(A71&lt;&gt;"",B71&lt;&gt;"",C71&lt;&gt;"",ISNUMBER(G71),ISNUMBER(K71),K71&lt;=G71,K71&gt;0,T71="낙찰",ISNUMBER(L71),L71&gt;0,ISNUMBER(U71),U71&gt;0,COUNTIFS(A$2:A$301,A71,B$2:B$301,B71,C$2:C$301,C71,G$2:G$301,G71)=1),"평가 가능","")</f>
        <v/>
      </c>
      <c r="X71" s="8">
        <f>IF(W71="평가 가능",(L71-U71)/U71,"")</f>
        <v/>
      </c>
      <c r="Y71" s="8">
        <f>IF(W71="평가 가능",ABS(X71),"")</f>
        <v/>
      </c>
      <c r="Z71" s="7">
        <f>IF(AND(ISNUMBER(M71),M71&gt;0,ISNUMBER(I71)),IF(M71&lt;I71,"최저가 미달",IF(M71=I71,"최저가 동액","최저가 초과")),"")</f>
        <v/>
      </c>
      <c r="AA71" s="7">
        <f>IF(AND(T71="낙찰",ISNUMBER(M71),M71&gt;0,ISNUMBER(U71)),IF(M71&lt;U71,"실제 낙찰가 미만",IF(M71=U71,"실제 낙찰가 동액","실제 낙찰가 초과")),"")</f>
        <v/>
      </c>
      <c r="AB71" s="7">
        <f>IF(AND(ISNUMBER(M71),M71&gt;0,ISNUMBER(R71)),IF(M71&lt;R71,"상한가 미만",IF(M71=R71,"상한가 동액","상한가 초과")),"")</f>
        <v/>
      </c>
      <c r="AC71" s="3" t="n"/>
      <c r="AD71" s="7">
        <f>IF(COUNTA(A71:Q71,S71:V71,AC71)=0,"",IF(OR(A71="",B71="",C71="",NOT(ISNUMBER(G71))),"식별값 확인",IF(COUNTIFS(A$2:A$301,A71,B$2:B$301,B71,C$2:C$301,C71,G$2:G$301,G71)&gt;1,"중복 회차",IF(AND(ISNUMBER(K71),K71&gt;G71),"기일 후 예측",IF(AND(T71="낙찰",W71=""),"평가 입력 확인","")))))</f>
        <v/>
      </c>
    </row>
    <row r="72">
      <c r="A72" s="2" t="n"/>
      <c r="B72" s="2" t="n"/>
      <c r="C72" s="2" t="n"/>
      <c r="D72" s="2" t="n"/>
      <c r="E72" s="2" t="n"/>
      <c r="F72" s="2" t="n"/>
      <c r="G72" s="4" t="n"/>
      <c r="H72" s="5" t="n"/>
      <c r="I72" s="5" t="n"/>
      <c r="J72" s="2" t="n"/>
      <c r="K72" s="4" t="n"/>
      <c r="L72" s="5" t="n"/>
      <c r="M72" s="5" t="n"/>
      <c r="N72" s="2" t="n"/>
      <c r="O72" s="5" t="n"/>
      <c r="P72" s="5" t="n"/>
      <c r="Q72" s="5" t="n"/>
      <c r="R72" s="6">
        <f>IF(COUNT(O72:Q72)=3,O72-P72-Q72,"")</f>
        <v/>
      </c>
      <c r="S72" s="2" t="n"/>
      <c r="T72" s="2" t="n"/>
      <c r="U72" s="5" t="n"/>
      <c r="V72" s="2" t="n"/>
      <c r="W72" s="7">
        <f>IF(AND(A72&lt;&gt;"",B72&lt;&gt;"",C72&lt;&gt;"",ISNUMBER(G72),ISNUMBER(K72),K72&lt;=G72,K72&gt;0,T72="낙찰",ISNUMBER(L72),L72&gt;0,ISNUMBER(U72),U72&gt;0,COUNTIFS(A$2:A$301,A72,B$2:B$301,B72,C$2:C$301,C72,G$2:G$301,G72)=1),"평가 가능","")</f>
        <v/>
      </c>
      <c r="X72" s="8">
        <f>IF(W72="평가 가능",(L72-U72)/U72,"")</f>
        <v/>
      </c>
      <c r="Y72" s="8">
        <f>IF(W72="평가 가능",ABS(X72),"")</f>
        <v/>
      </c>
      <c r="Z72" s="7">
        <f>IF(AND(ISNUMBER(M72),M72&gt;0,ISNUMBER(I72)),IF(M72&lt;I72,"최저가 미달",IF(M72=I72,"최저가 동액","최저가 초과")),"")</f>
        <v/>
      </c>
      <c r="AA72" s="7">
        <f>IF(AND(T72="낙찰",ISNUMBER(M72),M72&gt;0,ISNUMBER(U72)),IF(M72&lt;U72,"실제 낙찰가 미만",IF(M72=U72,"실제 낙찰가 동액","실제 낙찰가 초과")),"")</f>
        <v/>
      </c>
      <c r="AB72" s="7">
        <f>IF(AND(ISNUMBER(M72),M72&gt;0,ISNUMBER(R72)),IF(M72&lt;R72,"상한가 미만",IF(M72=R72,"상한가 동액","상한가 초과")),"")</f>
        <v/>
      </c>
      <c r="AC72" s="2" t="n"/>
      <c r="AD72" s="7">
        <f>IF(COUNTA(A72:Q72,S72:V72,AC72)=0,"",IF(OR(A72="",B72="",C72="",NOT(ISNUMBER(G72))),"식별값 확인",IF(COUNTIFS(A$2:A$301,A72,B$2:B$301,B72,C$2:C$301,C72,G$2:G$301,G72)&gt;1,"중복 회차",IF(AND(ISNUMBER(K72),K72&gt;G72),"기일 후 예측",IF(AND(T72="낙찰",W72=""),"평가 입력 확인","")))))</f>
        <v/>
      </c>
    </row>
    <row r="73">
      <c r="A73" s="3" t="n"/>
      <c r="B73" s="3" t="n"/>
      <c r="C73" s="3" t="n"/>
      <c r="D73" s="3" t="n"/>
      <c r="E73" s="3" t="n"/>
      <c r="F73" s="3" t="n"/>
      <c r="G73" s="9" t="n"/>
      <c r="H73" s="10" t="n"/>
      <c r="I73" s="10" t="n"/>
      <c r="J73" s="3" t="n"/>
      <c r="K73" s="9" t="n"/>
      <c r="L73" s="10" t="n"/>
      <c r="M73" s="10" t="n"/>
      <c r="N73" s="3" t="n"/>
      <c r="O73" s="10" t="n"/>
      <c r="P73" s="10" t="n"/>
      <c r="Q73" s="10" t="n"/>
      <c r="R73" s="6">
        <f>IF(COUNT(O73:Q73)=3,O73-P73-Q73,"")</f>
        <v/>
      </c>
      <c r="S73" s="3" t="n"/>
      <c r="T73" s="3" t="n"/>
      <c r="U73" s="10" t="n"/>
      <c r="V73" s="3" t="n"/>
      <c r="W73" s="7">
        <f>IF(AND(A73&lt;&gt;"",B73&lt;&gt;"",C73&lt;&gt;"",ISNUMBER(G73),ISNUMBER(K73),K73&lt;=G73,K73&gt;0,T73="낙찰",ISNUMBER(L73),L73&gt;0,ISNUMBER(U73),U73&gt;0,COUNTIFS(A$2:A$301,A73,B$2:B$301,B73,C$2:C$301,C73,G$2:G$301,G73)=1),"평가 가능","")</f>
        <v/>
      </c>
      <c r="X73" s="8">
        <f>IF(W73="평가 가능",(L73-U73)/U73,"")</f>
        <v/>
      </c>
      <c r="Y73" s="8">
        <f>IF(W73="평가 가능",ABS(X73),"")</f>
        <v/>
      </c>
      <c r="Z73" s="7">
        <f>IF(AND(ISNUMBER(M73),M73&gt;0,ISNUMBER(I73)),IF(M73&lt;I73,"최저가 미달",IF(M73=I73,"최저가 동액","최저가 초과")),"")</f>
        <v/>
      </c>
      <c r="AA73" s="7">
        <f>IF(AND(T73="낙찰",ISNUMBER(M73),M73&gt;0,ISNUMBER(U73)),IF(M73&lt;U73,"실제 낙찰가 미만",IF(M73=U73,"실제 낙찰가 동액","실제 낙찰가 초과")),"")</f>
        <v/>
      </c>
      <c r="AB73" s="7">
        <f>IF(AND(ISNUMBER(M73),M73&gt;0,ISNUMBER(R73)),IF(M73&lt;R73,"상한가 미만",IF(M73=R73,"상한가 동액","상한가 초과")),"")</f>
        <v/>
      </c>
      <c r="AC73" s="3" t="n"/>
      <c r="AD73" s="7">
        <f>IF(COUNTA(A73:Q73,S73:V73,AC73)=0,"",IF(OR(A73="",B73="",C73="",NOT(ISNUMBER(G73))),"식별값 확인",IF(COUNTIFS(A$2:A$301,A73,B$2:B$301,B73,C$2:C$301,C73,G$2:G$301,G73)&gt;1,"중복 회차",IF(AND(ISNUMBER(K73),K73&gt;G73),"기일 후 예측",IF(AND(T73="낙찰",W73=""),"평가 입력 확인","")))))</f>
        <v/>
      </c>
    </row>
    <row r="74">
      <c r="A74" s="2" t="n"/>
      <c r="B74" s="2" t="n"/>
      <c r="C74" s="2" t="n"/>
      <c r="D74" s="2" t="n"/>
      <c r="E74" s="2" t="n"/>
      <c r="F74" s="2" t="n"/>
      <c r="G74" s="4" t="n"/>
      <c r="H74" s="5" t="n"/>
      <c r="I74" s="5" t="n"/>
      <c r="J74" s="2" t="n"/>
      <c r="K74" s="4" t="n"/>
      <c r="L74" s="5" t="n"/>
      <c r="M74" s="5" t="n"/>
      <c r="N74" s="2" t="n"/>
      <c r="O74" s="5" t="n"/>
      <c r="P74" s="5" t="n"/>
      <c r="Q74" s="5" t="n"/>
      <c r="R74" s="6">
        <f>IF(COUNT(O74:Q74)=3,O74-P74-Q74,"")</f>
        <v/>
      </c>
      <c r="S74" s="2" t="n"/>
      <c r="T74" s="2" t="n"/>
      <c r="U74" s="5" t="n"/>
      <c r="V74" s="2" t="n"/>
      <c r="W74" s="7">
        <f>IF(AND(A74&lt;&gt;"",B74&lt;&gt;"",C74&lt;&gt;"",ISNUMBER(G74),ISNUMBER(K74),K74&lt;=G74,K74&gt;0,T74="낙찰",ISNUMBER(L74),L74&gt;0,ISNUMBER(U74),U74&gt;0,COUNTIFS(A$2:A$301,A74,B$2:B$301,B74,C$2:C$301,C74,G$2:G$301,G74)=1),"평가 가능","")</f>
        <v/>
      </c>
      <c r="X74" s="8">
        <f>IF(W74="평가 가능",(L74-U74)/U74,"")</f>
        <v/>
      </c>
      <c r="Y74" s="8">
        <f>IF(W74="평가 가능",ABS(X74),"")</f>
        <v/>
      </c>
      <c r="Z74" s="7">
        <f>IF(AND(ISNUMBER(M74),M74&gt;0,ISNUMBER(I74)),IF(M74&lt;I74,"최저가 미달",IF(M74=I74,"최저가 동액","최저가 초과")),"")</f>
        <v/>
      </c>
      <c r="AA74" s="7">
        <f>IF(AND(T74="낙찰",ISNUMBER(M74),M74&gt;0,ISNUMBER(U74)),IF(M74&lt;U74,"실제 낙찰가 미만",IF(M74=U74,"실제 낙찰가 동액","실제 낙찰가 초과")),"")</f>
        <v/>
      </c>
      <c r="AB74" s="7">
        <f>IF(AND(ISNUMBER(M74),M74&gt;0,ISNUMBER(R74)),IF(M74&lt;R74,"상한가 미만",IF(M74=R74,"상한가 동액","상한가 초과")),"")</f>
        <v/>
      </c>
      <c r="AC74" s="2" t="n"/>
      <c r="AD74" s="7">
        <f>IF(COUNTA(A74:Q74,S74:V74,AC74)=0,"",IF(OR(A74="",B74="",C74="",NOT(ISNUMBER(G74))),"식별값 확인",IF(COUNTIFS(A$2:A$301,A74,B$2:B$301,B74,C$2:C$301,C74,G$2:G$301,G74)&gt;1,"중복 회차",IF(AND(ISNUMBER(K74),K74&gt;G74),"기일 후 예측",IF(AND(T74="낙찰",W74=""),"평가 입력 확인","")))))</f>
        <v/>
      </c>
    </row>
    <row r="75">
      <c r="A75" s="3" t="n"/>
      <c r="B75" s="3" t="n"/>
      <c r="C75" s="3" t="n"/>
      <c r="D75" s="3" t="n"/>
      <c r="E75" s="3" t="n"/>
      <c r="F75" s="3" t="n"/>
      <c r="G75" s="9" t="n"/>
      <c r="H75" s="10" t="n"/>
      <c r="I75" s="10" t="n"/>
      <c r="J75" s="3" t="n"/>
      <c r="K75" s="9" t="n"/>
      <c r="L75" s="10" t="n"/>
      <c r="M75" s="10" t="n"/>
      <c r="N75" s="3" t="n"/>
      <c r="O75" s="10" t="n"/>
      <c r="P75" s="10" t="n"/>
      <c r="Q75" s="10" t="n"/>
      <c r="R75" s="6">
        <f>IF(COUNT(O75:Q75)=3,O75-P75-Q75,"")</f>
        <v/>
      </c>
      <c r="S75" s="3" t="n"/>
      <c r="T75" s="3" t="n"/>
      <c r="U75" s="10" t="n"/>
      <c r="V75" s="3" t="n"/>
      <c r="W75" s="7">
        <f>IF(AND(A75&lt;&gt;"",B75&lt;&gt;"",C75&lt;&gt;"",ISNUMBER(G75),ISNUMBER(K75),K75&lt;=G75,K75&gt;0,T75="낙찰",ISNUMBER(L75),L75&gt;0,ISNUMBER(U75),U75&gt;0,COUNTIFS(A$2:A$301,A75,B$2:B$301,B75,C$2:C$301,C75,G$2:G$301,G75)=1),"평가 가능","")</f>
        <v/>
      </c>
      <c r="X75" s="8">
        <f>IF(W75="평가 가능",(L75-U75)/U75,"")</f>
        <v/>
      </c>
      <c r="Y75" s="8">
        <f>IF(W75="평가 가능",ABS(X75),"")</f>
        <v/>
      </c>
      <c r="Z75" s="7">
        <f>IF(AND(ISNUMBER(M75),M75&gt;0,ISNUMBER(I75)),IF(M75&lt;I75,"최저가 미달",IF(M75=I75,"최저가 동액","최저가 초과")),"")</f>
        <v/>
      </c>
      <c r="AA75" s="7">
        <f>IF(AND(T75="낙찰",ISNUMBER(M75),M75&gt;0,ISNUMBER(U75)),IF(M75&lt;U75,"실제 낙찰가 미만",IF(M75=U75,"실제 낙찰가 동액","실제 낙찰가 초과")),"")</f>
        <v/>
      </c>
      <c r="AB75" s="7">
        <f>IF(AND(ISNUMBER(M75),M75&gt;0,ISNUMBER(R75)),IF(M75&lt;R75,"상한가 미만",IF(M75=R75,"상한가 동액","상한가 초과")),"")</f>
        <v/>
      </c>
      <c r="AC75" s="3" t="n"/>
      <c r="AD75" s="7">
        <f>IF(COUNTA(A75:Q75,S75:V75,AC75)=0,"",IF(OR(A75="",B75="",C75="",NOT(ISNUMBER(G75))),"식별값 확인",IF(COUNTIFS(A$2:A$301,A75,B$2:B$301,B75,C$2:C$301,C75,G$2:G$301,G75)&gt;1,"중복 회차",IF(AND(ISNUMBER(K75),K75&gt;G75),"기일 후 예측",IF(AND(T75="낙찰",W75=""),"평가 입력 확인","")))))</f>
        <v/>
      </c>
    </row>
    <row r="76">
      <c r="A76" s="2" t="n"/>
      <c r="B76" s="2" t="n"/>
      <c r="C76" s="2" t="n"/>
      <c r="D76" s="2" t="n"/>
      <c r="E76" s="2" t="n"/>
      <c r="F76" s="2" t="n"/>
      <c r="G76" s="4" t="n"/>
      <c r="H76" s="5" t="n"/>
      <c r="I76" s="5" t="n"/>
      <c r="J76" s="2" t="n"/>
      <c r="K76" s="4" t="n"/>
      <c r="L76" s="5" t="n"/>
      <c r="M76" s="5" t="n"/>
      <c r="N76" s="2" t="n"/>
      <c r="O76" s="5" t="n"/>
      <c r="P76" s="5" t="n"/>
      <c r="Q76" s="5" t="n"/>
      <c r="R76" s="6">
        <f>IF(COUNT(O76:Q76)=3,O76-P76-Q76,"")</f>
        <v/>
      </c>
      <c r="S76" s="2" t="n"/>
      <c r="T76" s="2" t="n"/>
      <c r="U76" s="5" t="n"/>
      <c r="V76" s="2" t="n"/>
      <c r="W76" s="7">
        <f>IF(AND(A76&lt;&gt;"",B76&lt;&gt;"",C76&lt;&gt;"",ISNUMBER(G76),ISNUMBER(K76),K76&lt;=G76,K76&gt;0,T76="낙찰",ISNUMBER(L76),L76&gt;0,ISNUMBER(U76),U76&gt;0,COUNTIFS(A$2:A$301,A76,B$2:B$301,B76,C$2:C$301,C76,G$2:G$301,G76)=1),"평가 가능","")</f>
        <v/>
      </c>
      <c r="X76" s="8">
        <f>IF(W76="평가 가능",(L76-U76)/U76,"")</f>
        <v/>
      </c>
      <c r="Y76" s="8">
        <f>IF(W76="평가 가능",ABS(X76),"")</f>
        <v/>
      </c>
      <c r="Z76" s="7">
        <f>IF(AND(ISNUMBER(M76),M76&gt;0,ISNUMBER(I76)),IF(M76&lt;I76,"최저가 미달",IF(M76=I76,"최저가 동액","최저가 초과")),"")</f>
        <v/>
      </c>
      <c r="AA76" s="7">
        <f>IF(AND(T76="낙찰",ISNUMBER(M76),M76&gt;0,ISNUMBER(U76)),IF(M76&lt;U76,"실제 낙찰가 미만",IF(M76=U76,"실제 낙찰가 동액","실제 낙찰가 초과")),"")</f>
        <v/>
      </c>
      <c r="AB76" s="7">
        <f>IF(AND(ISNUMBER(M76),M76&gt;0,ISNUMBER(R76)),IF(M76&lt;R76,"상한가 미만",IF(M76=R76,"상한가 동액","상한가 초과")),"")</f>
        <v/>
      </c>
      <c r="AC76" s="2" t="n"/>
      <c r="AD76" s="7">
        <f>IF(COUNTA(A76:Q76,S76:V76,AC76)=0,"",IF(OR(A76="",B76="",C76="",NOT(ISNUMBER(G76))),"식별값 확인",IF(COUNTIFS(A$2:A$301,A76,B$2:B$301,B76,C$2:C$301,C76,G$2:G$301,G76)&gt;1,"중복 회차",IF(AND(ISNUMBER(K76),K76&gt;G76),"기일 후 예측",IF(AND(T76="낙찰",W76=""),"평가 입력 확인","")))))</f>
        <v/>
      </c>
    </row>
    <row r="77">
      <c r="A77" s="3" t="n"/>
      <c r="B77" s="3" t="n"/>
      <c r="C77" s="3" t="n"/>
      <c r="D77" s="3" t="n"/>
      <c r="E77" s="3" t="n"/>
      <c r="F77" s="3" t="n"/>
      <c r="G77" s="9" t="n"/>
      <c r="H77" s="10" t="n"/>
      <c r="I77" s="10" t="n"/>
      <c r="J77" s="3" t="n"/>
      <c r="K77" s="9" t="n"/>
      <c r="L77" s="10" t="n"/>
      <c r="M77" s="10" t="n"/>
      <c r="N77" s="3" t="n"/>
      <c r="O77" s="10" t="n"/>
      <c r="P77" s="10" t="n"/>
      <c r="Q77" s="10" t="n"/>
      <c r="R77" s="6">
        <f>IF(COUNT(O77:Q77)=3,O77-P77-Q77,"")</f>
        <v/>
      </c>
      <c r="S77" s="3" t="n"/>
      <c r="T77" s="3" t="n"/>
      <c r="U77" s="10" t="n"/>
      <c r="V77" s="3" t="n"/>
      <c r="W77" s="7">
        <f>IF(AND(A77&lt;&gt;"",B77&lt;&gt;"",C77&lt;&gt;"",ISNUMBER(G77),ISNUMBER(K77),K77&lt;=G77,K77&gt;0,T77="낙찰",ISNUMBER(L77),L77&gt;0,ISNUMBER(U77),U77&gt;0,COUNTIFS(A$2:A$301,A77,B$2:B$301,B77,C$2:C$301,C77,G$2:G$301,G77)=1),"평가 가능","")</f>
        <v/>
      </c>
      <c r="X77" s="8">
        <f>IF(W77="평가 가능",(L77-U77)/U77,"")</f>
        <v/>
      </c>
      <c r="Y77" s="8">
        <f>IF(W77="평가 가능",ABS(X77),"")</f>
        <v/>
      </c>
      <c r="Z77" s="7">
        <f>IF(AND(ISNUMBER(M77),M77&gt;0,ISNUMBER(I77)),IF(M77&lt;I77,"최저가 미달",IF(M77=I77,"최저가 동액","최저가 초과")),"")</f>
        <v/>
      </c>
      <c r="AA77" s="7">
        <f>IF(AND(T77="낙찰",ISNUMBER(M77),M77&gt;0,ISNUMBER(U77)),IF(M77&lt;U77,"실제 낙찰가 미만",IF(M77=U77,"실제 낙찰가 동액","실제 낙찰가 초과")),"")</f>
        <v/>
      </c>
      <c r="AB77" s="7">
        <f>IF(AND(ISNUMBER(M77),M77&gt;0,ISNUMBER(R77)),IF(M77&lt;R77,"상한가 미만",IF(M77=R77,"상한가 동액","상한가 초과")),"")</f>
        <v/>
      </c>
      <c r="AC77" s="3" t="n"/>
      <c r="AD77" s="7">
        <f>IF(COUNTA(A77:Q77,S77:V77,AC77)=0,"",IF(OR(A77="",B77="",C77="",NOT(ISNUMBER(G77))),"식별값 확인",IF(COUNTIFS(A$2:A$301,A77,B$2:B$301,B77,C$2:C$301,C77,G$2:G$301,G77)&gt;1,"중복 회차",IF(AND(ISNUMBER(K77),K77&gt;G77),"기일 후 예측",IF(AND(T77="낙찰",W77=""),"평가 입력 확인","")))))</f>
        <v/>
      </c>
    </row>
    <row r="78">
      <c r="A78" s="2" t="n"/>
      <c r="B78" s="2" t="n"/>
      <c r="C78" s="2" t="n"/>
      <c r="D78" s="2" t="n"/>
      <c r="E78" s="2" t="n"/>
      <c r="F78" s="2" t="n"/>
      <c r="G78" s="4" t="n"/>
      <c r="H78" s="5" t="n"/>
      <c r="I78" s="5" t="n"/>
      <c r="J78" s="2" t="n"/>
      <c r="K78" s="4" t="n"/>
      <c r="L78" s="5" t="n"/>
      <c r="M78" s="5" t="n"/>
      <c r="N78" s="2" t="n"/>
      <c r="O78" s="5" t="n"/>
      <c r="P78" s="5" t="n"/>
      <c r="Q78" s="5" t="n"/>
      <c r="R78" s="6">
        <f>IF(COUNT(O78:Q78)=3,O78-P78-Q78,"")</f>
        <v/>
      </c>
      <c r="S78" s="2" t="n"/>
      <c r="T78" s="2" t="n"/>
      <c r="U78" s="5" t="n"/>
      <c r="V78" s="2" t="n"/>
      <c r="W78" s="7">
        <f>IF(AND(A78&lt;&gt;"",B78&lt;&gt;"",C78&lt;&gt;"",ISNUMBER(G78),ISNUMBER(K78),K78&lt;=G78,K78&gt;0,T78="낙찰",ISNUMBER(L78),L78&gt;0,ISNUMBER(U78),U78&gt;0,COUNTIFS(A$2:A$301,A78,B$2:B$301,B78,C$2:C$301,C78,G$2:G$301,G78)=1),"평가 가능","")</f>
        <v/>
      </c>
      <c r="X78" s="8">
        <f>IF(W78="평가 가능",(L78-U78)/U78,"")</f>
        <v/>
      </c>
      <c r="Y78" s="8">
        <f>IF(W78="평가 가능",ABS(X78),"")</f>
        <v/>
      </c>
      <c r="Z78" s="7">
        <f>IF(AND(ISNUMBER(M78),M78&gt;0,ISNUMBER(I78)),IF(M78&lt;I78,"최저가 미달",IF(M78=I78,"최저가 동액","최저가 초과")),"")</f>
        <v/>
      </c>
      <c r="AA78" s="7">
        <f>IF(AND(T78="낙찰",ISNUMBER(M78),M78&gt;0,ISNUMBER(U78)),IF(M78&lt;U78,"실제 낙찰가 미만",IF(M78=U78,"실제 낙찰가 동액","실제 낙찰가 초과")),"")</f>
        <v/>
      </c>
      <c r="AB78" s="7">
        <f>IF(AND(ISNUMBER(M78),M78&gt;0,ISNUMBER(R78)),IF(M78&lt;R78,"상한가 미만",IF(M78=R78,"상한가 동액","상한가 초과")),"")</f>
        <v/>
      </c>
      <c r="AC78" s="2" t="n"/>
      <c r="AD78" s="7">
        <f>IF(COUNTA(A78:Q78,S78:V78,AC78)=0,"",IF(OR(A78="",B78="",C78="",NOT(ISNUMBER(G78))),"식별값 확인",IF(COUNTIFS(A$2:A$301,A78,B$2:B$301,B78,C$2:C$301,C78,G$2:G$301,G78)&gt;1,"중복 회차",IF(AND(ISNUMBER(K78),K78&gt;G78),"기일 후 예측",IF(AND(T78="낙찰",W78=""),"평가 입력 확인","")))))</f>
        <v/>
      </c>
    </row>
    <row r="79">
      <c r="A79" s="3" t="n"/>
      <c r="B79" s="3" t="n"/>
      <c r="C79" s="3" t="n"/>
      <c r="D79" s="3" t="n"/>
      <c r="E79" s="3" t="n"/>
      <c r="F79" s="3" t="n"/>
      <c r="G79" s="9" t="n"/>
      <c r="H79" s="10" t="n"/>
      <c r="I79" s="10" t="n"/>
      <c r="J79" s="3" t="n"/>
      <c r="K79" s="9" t="n"/>
      <c r="L79" s="10" t="n"/>
      <c r="M79" s="10" t="n"/>
      <c r="N79" s="3" t="n"/>
      <c r="O79" s="10" t="n"/>
      <c r="P79" s="10" t="n"/>
      <c r="Q79" s="10" t="n"/>
      <c r="R79" s="6">
        <f>IF(COUNT(O79:Q79)=3,O79-P79-Q79,"")</f>
        <v/>
      </c>
      <c r="S79" s="3" t="n"/>
      <c r="T79" s="3" t="n"/>
      <c r="U79" s="10" t="n"/>
      <c r="V79" s="3" t="n"/>
      <c r="W79" s="7">
        <f>IF(AND(A79&lt;&gt;"",B79&lt;&gt;"",C79&lt;&gt;"",ISNUMBER(G79),ISNUMBER(K79),K79&lt;=G79,K79&gt;0,T79="낙찰",ISNUMBER(L79),L79&gt;0,ISNUMBER(U79),U79&gt;0,COUNTIFS(A$2:A$301,A79,B$2:B$301,B79,C$2:C$301,C79,G$2:G$301,G79)=1),"평가 가능","")</f>
        <v/>
      </c>
      <c r="X79" s="8">
        <f>IF(W79="평가 가능",(L79-U79)/U79,"")</f>
        <v/>
      </c>
      <c r="Y79" s="8">
        <f>IF(W79="평가 가능",ABS(X79),"")</f>
        <v/>
      </c>
      <c r="Z79" s="7">
        <f>IF(AND(ISNUMBER(M79),M79&gt;0,ISNUMBER(I79)),IF(M79&lt;I79,"최저가 미달",IF(M79=I79,"최저가 동액","최저가 초과")),"")</f>
        <v/>
      </c>
      <c r="AA79" s="7">
        <f>IF(AND(T79="낙찰",ISNUMBER(M79),M79&gt;0,ISNUMBER(U79)),IF(M79&lt;U79,"실제 낙찰가 미만",IF(M79=U79,"실제 낙찰가 동액","실제 낙찰가 초과")),"")</f>
        <v/>
      </c>
      <c r="AB79" s="7">
        <f>IF(AND(ISNUMBER(M79),M79&gt;0,ISNUMBER(R79)),IF(M79&lt;R79,"상한가 미만",IF(M79=R79,"상한가 동액","상한가 초과")),"")</f>
        <v/>
      </c>
      <c r="AC79" s="3" t="n"/>
      <c r="AD79" s="7">
        <f>IF(COUNTA(A79:Q79,S79:V79,AC79)=0,"",IF(OR(A79="",B79="",C79="",NOT(ISNUMBER(G79))),"식별값 확인",IF(COUNTIFS(A$2:A$301,A79,B$2:B$301,B79,C$2:C$301,C79,G$2:G$301,G79)&gt;1,"중복 회차",IF(AND(ISNUMBER(K79),K79&gt;G79),"기일 후 예측",IF(AND(T79="낙찰",W79=""),"평가 입력 확인","")))))</f>
        <v/>
      </c>
    </row>
    <row r="80">
      <c r="A80" s="2" t="n"/>
      <c r="B80" s="2" t="n"/>
      <c r="C80" s="2" t="n"/>
      <c r="D80" s="2" t="n"/>
      <c r="E80" s="2" t="n"/>
      <c r="F80" s="2" t="n"/>
      <c r="G80" s="4" t="n"/>
      <c r="H80" s="5" t="n"/>
      <c r="I80" s="5" t="n"/>
      <c r="J80" s="2" t="n"/>
      <c r="K80" s="4" t="n"/>
      <c r="L80" s="5" t="n"/>
      <c r="M80" s="5" t="n"/>
      <c r="N80" s="2" t="n"/>
      <c r="O80" s="5" t="n"/>
      <c r="P80" s="5" t="n"/>
      <c r="Q80" s="5" t="n"/>
      <c r="R80" s="6">
        <f>IF(COUNT(O80:Q80)=3,O80-P80-Q80,"")</f>
        <v/>
      </c>
      <c r="S80" s="2" t="n"/>
      <c r="T80" s="2" t="n"/>
      <c r="U80" s="5" t="n"/>
      <c r="V80" s="2" t="n"/>
      <c r="W80" s="7">
        <f>IF(AND(A80&lt;&gt;"",B80&lt;&gt;"",C80&lt;&gt;"",ISNUMBER(G80),ISNUMBER(K80),K80&lt;=G80,K80&gt;0,T80="낙찰",ISNUMBER(L80),L80&gt;0,ISNUMBER(U80),U80&gt;0,COUNTIFS(A$2:A$301,A80,B$2:B$301,B80,C$2:C$301,C80,G$2:G$301,G80)=1),"평가 가능","")</f>
        <v/>
      </c>
      <c r="X80" s="8">
        <f>IF(W80="평가 가능",(L80-U80)/U80,"")</f>
        <v/>
      </c>
      <c r="Y80" s="8">
        <f>IF(W80="평가 가능",ABS(X80),"")</f>
        <v/>
      </c>
      <c r="Z80" s="7">
        <f>IF(AND(ISNUMBER(M80),M80&gt;0,ISNUMBER(I80)),IF(M80&lt;I80,"최저가 미달",IF(M80=I80,"최저가 동액","최저가 초과")),"")</f>
        <v/>
      </c>
      <c r="AA80" s="7">
        <f>IF(AND(T80="낙찰",ISNUMBER(M80),M80&gt;0,ISNUMBER(U80)),IF(M80&lt;U80,"실제 낙찰가 미만",IF(M80=U80,"실제 낙찰가 동액","실제 낙찰가 초과")),"")</f>
        <v/>
      </c>
      <c r="AB80" s="7">
        <f>IF(AND(ISNUMBER(M80),M80&gt;0,ISNUMBER(R80)),IF(M80&lt;R80,"상한가 미만",IF(M80=R80,"상한가 동액","상한가 초과")),"")</f>
        <v/>
      </c>
      <c r="AC80" s="2" t="n"/>
      <c r="AD80" s="7">
        <f>IF(COUNTA(A80:Q80,S80:V80,AC80)=0,"",IF(OR(A80="",B80="",C80="",NOT(ISNUMBER(G80))),"식별값 확인",IF(COUNTIFS(A$2:A$301,A80,B$2:B$301,B80,C$2:C$301,C80,G$2:G$301,G80)&gt;1,"중복 회차",IF(AND(ISNUMBER(K80),K80&gt;G80),"기일 후 예측",IF(AND(T80="낙찰",W80=""),"평가 입력 확인","")))))</f>
        <v/>
      </c>
    </row>
    <row r="81">
      <c r="A81" s="3" t="n"/>
      <c r="B81" s="3" t="n"/>
      <c r="C81" s="3" t="n"/>
      <c r="D81" s="3" t="n"/>
      <c r="E81" s="3" t="n"/>
      <c r="F81" s="3" t="n"/>
      <c r="G81" s="9" t="n"/>
      <c r="H81" s="10" t="n"/>
      <c r="I81" s="10" t="n"/>
      <c r="J81" s="3" t="n"/>
      <c r="K81" s="9" t="n"/>
      <c r="L81" s="10" t="n"/>
      <c r="M81" s="10" t="n"/>
      <c r="N81" s="3" t="n"/>
      <c r="O81" s="10" t="n"/>
      <c r="P81" s="10" t="n"/>
      <c r="Q81" s="10" t="n"/>
      <c r="R81" s="6">
        <f>IF(COUNT(O81:Q81)=3,O81-P81-Q81,"")</f>
        <v/>
      </c>
      <c r="S81" s="3" t="n"/>
      <c r="T81" s="3" t="n"/>
      <c r="U81" s="10" t="n"/>
      <c r="V81" s="3" t="n"/>
      <c r="W81" s="7">
        <f>IF(AND(A81&lt;&gt;"",B81&lt;&gt;"",C81&lt;&gt;"",ISNUMBER(G81),ISNUMBER(K81),K81&lt;=G81,K81&gt;0,T81="낙찰",ISNUMBER(L81),L81&gt;0,ISNUMBER(U81),U81&gt;0,COUNTIFS(A$2:A$301,A81,B$2:B$301,B81,C$2:C$301,C81,G$2:G$301,G81)=1),"평가 가능","")</f>
        <v/>
      </c>
      <c r="X81" s="8">
        <f>IF(W81="평가 가능",(L81-U81)/U81,"")</f>
        <v/>
      </c>
      <c r="Y81" s="8">
        <f>IF(W81="평가 가능",ABS(X81),"")</f>
        <v/>
      </c>
      <c r="Z81" s="7">
        <f>IF(AND(ISNUMBER(M81),M81&gt;0,ISNUMBER(I81)),IF(M81&lt;I81,"최저가 미달",IF(M81=I81,"최저가 동액","최저가 초과")),"")</f>
        <v/>
      </c>
      <c r="AA81" s="7">
        <f>IF(AND(T81="낙찰",ISNUMBER(M81),M81&gt;0,ISNUMBER(U81)),IF(M81&lt;U81,"실제 낙찰가 미만",IF(M81=U81,"실제 낙찰가 동액","실제 낙찰가 초과")),"")</f>
        <v/>
      </c>
      <c r="AB81" s="7">
        <f>IF(AND(ISNUMBER(M81),M81&gt;0,ISNUMBER(R81)),IF(M81&lt;R81,"상한가 미만",IF(M81=R81,"상한가 동액","상한가 초과")),"")</f>
        <v/>
      </c>
      <c r="AC81" s="3" t="n"/>
      <c r="AD81" s="7">
        <f>IF(COUNTA(A81:Q81,S81:V81,AC81)=0,"",IF(OR(A81="",B81="",C81="",NOT(ISNUMBER(G81))),"식별값 확인",IF(COUNTIFS(A$2:A$301,A81,B$2:B$301,B81,C$2:C$301,C81,G$2:G$301,G81)&gt;1,"중복 회차",IF(AND(ISNUMBER(K81),K81&gt;G81),"기일 후 예측",IF(AND(T81="낙찰",W81=""),"평가 입력 확인","")))))</f>
        <v/>
      </c>
    </row>
    <row r="82">
      <c r="A82" s="2" t="n"/>
      <c r="B82" s="2" t="n"/>
      <c r="C82" s="2" t="n"/>
      <c r="D82" s="2" t="n"/>
      <c r="E82" s="2" t="n"/>
      <c r="F82" s="2" t="n"/>
      <c r="G82" s="4" t="n"/>
      <c r="H82" s="5" t="n"/>
      <c r="I82" s="5" t="n"/>
      <c r="J82" s="2" t="n"/>
      <c r="K82" s="4" t="n"/>
      <c r="L82" s="5" t="n"/>
      <c r="M82" s="5" t="n"/>
      <c r="N82" s="2" t="n"/>
      <c r="O82" s="5" t="n"/>
      <c r="P82" s="5" t="n"/>
      <c r="Q82" s="5" t="n"/>
      <c r="R82" s="6">
        <f>IF(COUNT(O82:Q82)=3,O82-P82-Q82,"")</f>
        <v/>
      </c>
      <c r="S82" s="2" t="n"/>
      <c r="T82" s="2" t="n"/>
      <c r="U82" s="5" t="n"/>
      <c r="V82" s="2" t="n"/>
      <c r="W82" s="7">
        <f>IF(AND(A82&lt;&gt;"",B82&lt;&gt;"",C82&lt;&gt;"",ISNUMBER(G82),ISNUMBER(K82),K82&lt;=G82,K82&gt;0,T82="낙찰",ISNUMBER(L82),L82&gt;0,ISNUMBER(U82),U82&gt;0,COUNTIFS(A$2:A$301,A82,B$2:B$301,B82,C$2:C$301,C82,G$2:G$301,G82)=1),"평가 가능","")</f>
        <v/>
      </c>
      <c r="X82" s="8">
        <f>IF(W82="평가 가능",(L82-U82)/U82,"")</f>
        <v/>
      </c>
      <c r="Y82" s="8">
        <f>IF(W82="평가 가능",ABS(X82),"")</f>
        <v/>
      </c>
      <c r="Z82" s="7">
        <f>IF(AND(ISNUMBER(M82),M82&gt;0,ISNUMBER(I82)),IF(M82&lt;I82,"최저가 미달",IF(M82=I82,"최저가 동액","최저가 초과")),"")</f>
        <v/>
      </c>
      <c r="AA82" s="7">
        <f>IF(AND(T82="낙찰",ISNUMBER(M82),M82&gt;0,ISNUMBER(U82)),IF(M82&lt;U82,"실제 낙찰가 미만",IF(M82=U82,"실제 낙찰가 동액","실제 낙찰가 초과")),"")</f>
        <v/>
      </c>
      <c r="AB82" s="7">
        <f>IF(AND(ISNUMBER(M82),M82&gt;0,ISNUMBER(R82)),IF(M82&lt;R82,"상한가 미만",IF(M82=R82,"상한가 동액","상한가 초과")),"")</f>
        <v/>
      </c>
      <c r="AC82" s="2" t="n"/>
      <c r="AD82" s="7">
        <f>IF(COUNTA(A82:Q82,S82:V82,AC82)=0,"",IF(OR(A82="",B82="",C82="",NOT(ISNUMBER(G82))),"식별값 확인",IF(COUNTIFS(A$2:A$301,A82,B$2:B$301,B82,C$2:C$301,C82,G$2:G$301,G82)&gt;1,"중복 회차",IF(AND(ISNUMBER(K82),K82&gt;G82),"기일 후 예측",IF(AND(T82="낙찰",W82=""),"평가 입력 확인","")))))</f>
        <v/>
      </c>
    </row>
    <row r="83">
      <c r="A83" s="3" t="n"/>
      <c r="B83" s="3" t="n"/>
      <c r="C83" s="3" t="n"/>
      <c r="D83" s="3" t="n"/>
      <c r="E83" s="3" t="n"/>
      <c r="F83" s="3" t="n"/>
      <c r="G83" s="9" t="n"/>
      <c r="H83" s="10" t="n"/>
      <c r="I83" s="10" t="n"/>
      <c r="J83" s="3" t="n"/>
      <c r="K83" s="9" t="n"/>
      <c r="L83" s="10" t="n"/>
      <c r="M83" s="10" t="n"/>
      <c r="N83" s="3" t="n"/>
      <c r="O83" s="10" t="n"/>
      <c r="P83" s="10" t="n"/>
      <c r="Q83" s="10" t="n"/>
      <c r="R83" s="6">
        <f>IF(COUNT(O83:Q83)=3,O83-P83-Q83,"")</f>
        <v/>
      </c>
      <c r="S83" s="3" t="n"/>
      <c r="T83" s="3" t="n"/>
      <c r="U83" s="10" t="n"/>
      <c r="V83" s="3" t="n"/>
      <c r="W83" s="7">
        <f>IF(AND(A83&lt;&gt;"",B83&lt;&gt;"",C83&lt;&gt;"",ISNUMBER(G83),ISNUMBER(K83),K83&lt;=G83,K83&gt;0,T83="낙찰",ISNUMBER(L83),L83&gt;0,ISNUMBER(U83),U83&gt;0,COUNTIFS(A$2:A$301,A83,B$2:B$301,B83,C$2:C$301,C83,G$2:G$301,G83)=1),"평가 가능","")</f>
        <v/>
      </c>
      <c r="X83" s="8">
        <f>IF(W83="평가 가능",(L83-U83)/U83,"")</f>
        <v/>
      </c>
      <c r="Y83" s="8">
        <f>IF(W83="평가 가능",ABS(X83),"")</f>
        <v/>
      </c>
      <c r="Z83" s="7">
        <f>IF(AND(ISNUMBER(M83),M83&gt;0,ISNUMBER(I83)),IF(M83&lt;I83,"최저가 미달",IF(M83=I83,"최저가 동액","최저가 초과")),"")</f>
        <v/>
      </c>
      <c r="AA83" s="7">
        <f>IF(AND(T83="낙찰",ISNUMBER(M83),M83&gt;0,ISNUMBER(U83)),IF(M83&lt;U83,"실제 낙찰가 미만",IF(M83=U83,"실제 낙찰가 동액","실제 낙찰가 초과")),"")</f>
        <v/>
      </c>
      <c r="AB83" s="7">
        <f>IF(AND(ISNUMBER(M83),M83&gt;0,ISNUMBER(R83)),IF(M83&lt;R83,"상한가 미만",IF(M83=R83,"상한가 동액","상한가 초과")),"")</f>
        <v/>
      </c>
      <c r="AC83" s="3" t="n"/>
      <c r="AD83" s="7">
        <f>IF(COUNTA(A83:Q83,S83:V83,AC83)=0,"",IF(OR(A83="",B83="",C83="",NOT(ISNUMBER(G83))),"식별값 확인",IF(COUNTIFS(A$2:A$301,A83,B$2:B$301,B83,C$2:C$301,C83,G$2:G$301,G83)&gt;1,"중복 회차",IF(AND(ISNUMBER(K83),K83&gt;G83),"기일 후 예측",IF(AND(T83="낙찰",W83=""),"평가 입력 확인","")))))</f>
        <v/>
      </c>
    </row>
    <row r="84">
      <c r="A84" s="2" t="n"/>
      <c r="B84" s="2" t="n"/>
      <c r="C84" s="2" t="n"/>
      <c r="D84" s="2" t="n"/>
      <c r="E84" s="2" t="n"/>
      <c r="F84" s="2" t="n"/>
      <c r="G84" s="4" t="n"/>
      <c r="H84" s="5" t="n"/>
      <c r="I84" s="5" t="n"/>
      <c r="J84" s="2" t="n"/>
      <c r="K84" s="4" t="n"/>
      <c r="L84" s="5" t="n"/>
      <c r="M84" s="5" t="n"/>
      <c r="N84" s="2" t="n"/>
      <c r="O84" s="5" t="n"/>
      <c r="P84" s="5" t="n"/>
      <c r="Q84" s="5" t="n"/>
      <c r="R84" s="6">
        <f>IF(COUNT(O84:Q84)=3,O84-P84-Q84,"")</f>
        <v/>
      </c>
      <c r="S84" s="2" t="n"/>
      <c r="T84" s="2" t="n"/>
      <c r="U84" s="5" t="n"/>
      <c r="V84" s="2" t="n"/>
      <c r="W84" s="7">
        <f>IF(AND(A84&lt;&gt;"",B84&lt;&gt;"",C84&lt;&gt;"",ISNUMBER(G84),ISNUMBER(K84),K84&lt;=G84,K84&gt;0,T84="낙찰",ISNUMBER(L84),L84&gt;0,ISNUMBER(U84),U84&gt;0,COUNTIFS(A$2:A$301,A84,B$2:B$301,B84,C$2:C$301,C84,G$2:G$301,G84)=1),"평가 가능","")</f>
        <v/>
      </c>
      <c r="X84" s="8">
        <f>IF(W84="평가 가능",(L84-U84)/U84,"")</f>
        <v/>
      </c>
      <c r="Y84" s="8">
        <f>IF(W84="평가 가능",ABS(X84),"")</f>
        <v/>
      </c>
      <c r="Z84" s="7">
        <f>IF(AND(ISNUMBER(M84),M84&gt;0,ISNUMBER(I84)),IF(M84&lt;I84,"최저가 미달",IF(M84=I84,"최저가 동액","최저가 초과")),"")</f>
        <v/>
      </c>
      <c r="AA84" s="7">
        <f>IF(AND(T84="낙찰",ISNUMBER(M84),M84&gt;0,ISNUMBER(U84)),IF(M84&lt;U84,"실제 낙찰가 미만",IF(M84=U84,"실제 낙찰가 동액","실제 낙찰가 초과")),"")</f>
        <v/>
      </c>
      <c r="AB84" s="7">
        <f>IF(AND(ISNUMBER(M84),M84&gt;0,ISNUMBER(R84)),IF(M84&lt;R84,"상한가 미만",IF(M84=R84,"상한가 동액","상한가 초과")),"")</f>
        <v/>
      </c>
      <c r="AC84" s="2" t="n"/>
      <c r="AD84" s="7">
        <f>IF(COUNTA(A84:Q84,S84:V84,AC84)=0,"",IF(OR(A84="",B84="",C84="",NOT(ISNUMBER(G84))),"식별값 확인",IF(COUNTIFS(A$2:A$301,A84,B$2:B$301,B84,C$2:C$301,C84,G$2:G$301,G84)&gt;1,"중복 회차",IF(AND(ISNUMBER(K84),K84&gt;G84),"기일 후 예측",IF(AND(T84="낙찰",W84=""),"평가 입력 확인","")))))</f>
        <v/>
      </c>
    </row>
    <row r="85">
      <c r="A85" s="3" t="n"/>
      <c r="B85" s="3" t="n"/>
      <c r="C85" s="3" t="n"/>
      <c r="D85" s="3" t="n"/>
      <c r="E85" s="3" t="n"/>
      <c r="F85" s="3" t="n"/>
      <c r="G85" s="9" t="n"/>
      <c r="H85" s="10" t="n"/>
      <c r="I85" s="10" t="n"/>
      <c r="J85" s="3" t="n"/>
      <c r="K85" s="9" t="n"/>
      <c r="L85" s="10" t="n"/>
      <c r="M85" s="10" t="n"/>
      <c r="N85" s="3" t="n"/>
      <c r="O85" s="10" t="n"/>
      <c r="P85" s="10" t="n"/>
      <c r="Q85" s="10" t="n"/>
      <c r="R85" s="6">
        <f>IF(COUNT(O85:Q85)=3,O85-P85-Q85,"")</f>
        <v/>
      </c>
      <c r="S85" s="3" t="n"/>
      <c r="T85" s="3" t="n"/>
      <c r="U85" s="10" t="n"/>
      <c r="V85" s="3" t="n"/>
      <c r="W85" s="7">
        <f>IF(AND(A85&lt;&gt;"",B85&lt;&gt;"",C85&lt;&gt;"",ISNUMBER(G85),ISNUMBER(K85),K85&lt;=G85,K85&gt;0,T85="낙찰",ISNUMBER(L85),L85&gt;0,ISNUMBER(U85),U85&gt;0,COUNTIFS(A$2:A$301,A85,B$2:B$301,B85,C$2:C$301,C85,G$2:G$301,G85)=1),"평가 가능","")</f>
        <v/>
      </c>
      <c r="X85" s="8">
        <f>IF(W85="평가 가능",(L85-U85)/U85,"")</f>
        <v/>
      </c>
      <c r="Y85" s="8">
        <f>IF(W85="평가 가능",ABS(X85),"")</f>
        <v/>
      </c>
      <c r="Z85" s="7">
        <f>IF(AND(ISNUMBER(M85),M85&gt;0,ISNUMBER(I85)),IF(M85&lt;I85,"최저가 미달",IF(M85=I85,"최저가 동액","최저가 초과")),"")</f>
        <v/>
      </c>
      <c r="AA85" s="7">
        <f>IF(AND(T85="낙찰",ISNUMBER(M85),M85&gt;0,ISNUMBER(U85)),IF(M85&lt;U85,"실제 낙찰가 미만",IF(M85=U85,"실제 낙찰가 동액","실제 낙찰가 초과")),"")</f>
        <v/>
      </c>
      <c r="AB85" s="7">
        <f>IF(AND(ISNUMBER(M85),M85&gt;0,ISNUMBER(R85)),IF(M85&lt;R85,"상한가 미만",IF(M85=R85,"상한가 동액","상한가 초과")),"")</f>
        <v/>
      </c>
      <c r="AC85" s="3" t="n"/>
      <c r="AD85" s="7">
        <f>IF(COUNTA(A85:Q85,S85:V85,AC85)=0,"",IF(OR(A85="",B85="",C85="",NOT(ISNUMBER(G85))),"식별값 확인",IF(COUNTIFS(A$2:A$301,A85,B$2:B$301,B85,C$2:C$301,C85,G$2:G$301,G85)&gt;1,"중복 회차",IF(AND(ISNUMBER(K85),K85&gt;G85),"기일 후 예측",IF(AND(T85="낙찰",W85=""),"평가 입력 확인","")))))</f>
        <v/>
      </c>
    </row>
    <row r="86">
      <c r="A86" s="2" t="n"/>
      <c r="B86" s="2" t="n"/>
      <c r="C86" s="2" t="n"/>
      <c r="D86" s="2" t="n"/>
      <c r="E86" s="2" t="n"/>
      <c r="F86" s="2" t="n"/>
      <c r="G86" s="4" t="n"/>
      <c r="H86" s="5" t="n"/>
      <c r="I86" s="5" t="n"/>
      <c r="J86" s="2" t="n"/>
      <c r="K86" s="4" t="n"/>
      <c r="L86" s="5" t="n"/>
      <c r="M86" s="5" t="n"/>
      <c r="N86" s="2" t="n"/>
      <c r="O86" s="5" t="n"/>
      <c r="P86" s="5" t="n"/>
      <c r="Q86" s="5" t="n"/>
      <c r="R86" s="6">
        <f>IF(COUNT(O86:Q86)=3,O86-P86-Q86,"")</f>
        <v/>
      </c>
      <c r="S86" s="2" t="n"/>
      <c r="T86" s="2" t="n"/>
      <c r="U86" s="5" t="n"/>
      <c r="V86" s="2" t="n"/>
      <c r="W86" s="7">
        <f>IF(AND(A86&lt;&gt;"",B86&lt;&gt;"",C86&lt;&gt;"",ISNUMBER(G86),ISNUMBER(K86),K86&lt;=G86,K86&gt;0,T86="낙찰",ISNUMBER(L86),L86&gt;0,ISNUMBER(U86),U86&gt;0,COUNTIFS(A$2:A$301,A86,B$2:B$301,B86,C$2:C$301,C86,G$2:G$301,G86)=1),"평가 가능","")</f>
        <v/>
      </c>
      <c r="X86" s="8">
        <f>IF(W86="평가 가능",(L86-U86)/U86,"")</f>
        <v/>
      </c>
      <c r="Y86" s="8">
        <f>IF(W86="평가 가능",ABS(X86),"")</f>
        <v/>
      </c>
      <c r="Z86" s="7">
        <f>IF(AND(ISNUMBER(M86),M86&gt;0,ISNUMBER(I86)),IF(M86&lt;I86,"최저가 미달",IF(M86=I86,"최저가 동액","최저가 초과")),"")</f>
        <v/>
      </c>
      <c r="AA86" s="7">
        <f>IF(AND(T86="낙찰",ISNUMBER(M86),M86&gt;0,ISNUMBER(U86)),IF(M86&lt;U86,"실제 낙찰가 미만",IF(M86=U86,"실제 낙찰가 동액","실제 낙찰가 초과")),"")</f>
        <v/>
      </c>
      <c r="AB86" s="7">
        <f>IF(AND(ISNUMBER(M86),M86&gt;0,ISNUMBER(R86)),IF(M86&lt;R86,"상한가 미만",IF(M86=R86,"상한가 동액","상한가 초과")),"")</f>
        <v/>
      </c>
      <c r="AC86" s="2" t="n"/>
      <c r="AD86" s="7">
        <f>IF(COUNTA(A86:Q86,S86:V86,AC86)=0,"",IF(OR(A86="",B86="",C86="",NOT(ISNUMBER(G86))),"식별값 확인",IF(COUNTIFS(A$2:A$301,A86,B$2:B$301,B86,C$2:C$301,C86,G$2:G$301,G86)&gt;1,"중복 회차",IF(AND(ISNUMBER(K86),K86&gt;G86),"기일 후 예측",IF(AND(T86="낙찰",W86=""),"평가 입력 확인","")))))</f>
        <v/>
      </c>
    </row>
    <row r="87">
      <c r="A87" s="3" t="n"/>
      <c r="B87" s="3" t="n"/>
      <c r="C87" s="3" t="n"/>
      <c r="D87" s="3" t="n"/>
      <c r="E87" s="3" t="n"/>
      <c r="F87" s="3" t="n"/>
      <c r="G87" s="9" t="n"/>
      <c r="H87" s="10" t="n"/>
      <c r="I87" s="10" t="n"/>
      <c r="J87" s="3" t="n"/>
      <c r="K87" s="9" t="n"/>
      <c r="L87" s="10" t="n"/>
      <c r="M87" s="10" t="n"/>
      <c r="N87" s="3" t="n"/>
      <c r="O87" s="10" t="n"/>
      <c r="P87" s="10" t="n"/>
      <c r="Q87" s="10" t="n"/>
      <c r="R87" s="6">
        <f>IF(COUNT(O87:Q87)=3,O87-P87-Q87,"")</f>
        <v/>
      </c>
      <c r="S87" s="3" t="n"/>
      <c r="T87" s="3" t="n"/>
      <c r="U87" s="10" t="n"/>
      <c r="V87" s="3" t="n"/>
      <c r="W87" s="7">
        <f>IF(AND(A87&lt;&gt;"",B87&lt;&gt;"",C87&lt;&gt;"",ISNUMBER(G87),ISNUMBER(K87),K87&lt;=G87,K87&gt;0,T87="낙찰",ISNUMBER(L87),L87&gt;0,ISNUMBER(U87),U87&gt;0,COUNTIFS(A$2:A$301,A87,B$2:B$301,B87,C$2:C$301,C87,G$2:G$301,G87)=1),"평가 가능","")</f>
        <v/>
      </c>
      <c r="X87" s="8">
        <f>IF(W87="평가 가능",(L87-U87)/U87,"")</f>
        <v/>
      </c>
      <c r="Y87" s="8">
        <f>IF(W87="평가 가능",ABS(X87),"")</f>
        <v/>
      </c>
      <c r="Z87" s="7">
        <f>IF(AND(ISNUMBER(M87),M87&gt;0,ISNUMBER(I87)),IF(M87&lt;I87,"최저가 미달",IF(M87=I87,"최저가 동액","최저가 초과")),"")</f>
        <v/>
      </c>
      <c r="AA87" s="7">
        <f>IF(AND(T87="낙찰",ISNUMBER(M87),M87&gt;0,ISNUMBER(U87)),IF(M87&lt;U87,"실제 낙찰가 미만",IF(M87=U87,"실제 낙찰가 동액","실제 낙찰가 초과")),"")</f>
        <v/>
      </c>
      <c r="AB87" s="7">
        <f>IF(AND(ISNUMBER(M87),M87&gt;0,ISNUMBER(R87)),IF(M87&lt;R87,"상한가 미만",IF(M87=R87,"상한가 동액","상한가 초과")),"")</f>
        <v/>
      </c>
      <c r="AC87" s="3" t="n"/>
      <c r="AD87" s="7">
        <f>IF(COUNTA(A87:Q87,S87:V87,AC87)=0,"",IF(OR(A87="",B87="",C87="",NOT(ISNUMBER(G87))),"식별값 확인",IF(COUNTIFS(A$2:A$301,A87,B$2:B$301,B87,C$2:C$301,C87,G$2:G$301,G87)&gt;1,"중복 회차",IF(AND(ISNUMBER(K87),K87&gt;G87),"기일 후 예측",IF(AND(T87="낙찰",W87=""),"평가 입력 확인","")))))</f>
        <v/>
      </c>
    </row>
    <row r="88">
      <c r="A88" s="2" t="n"/>
      <c r="B88" s="2" t="n"/>
      <c r="C88" s="2" t="n"/>
      <c r="D88" s="2" t="n"/>
      <c r="E88" s="2" t="n"/>
      <c r="F88" s="2" t="n"/>
      <c r="G88" s="4" t="n"/>
      <c r="H88" s="5" t="n"/>
      <c r="I88" s="5" t="n"/>
      <c r="J88" s="2" t="n"/>
      <c r="K88" s="4" t="n"/>
      <c r="L88" s="5" t="n"/>
      <c r="M88" s="5" t="n"/>
      <c r="N88" s="2" t="n"/>
      <c r="O88" s="5" t="n"/>
      <c r="P88" s="5" t="n"/>
      <c r="Q88" s="5" t="n"/>
      <c r="R88" s="6">
        <f>IF(COUNT(O88:Q88)=3,O88-P88-Q88,"")</f>
        <v/>
      </c>
      <c r="S88" s="2" t="n"/>
      <c r="T88" s="2" t="n"/>
      <c r="U88" s="5" t="n"/>
      <c r="V88" s="2" t="n"/>
      <c r="W88" s="7">
        <f>IF(AND(A88&lt;&gt;"",B88&lt;&gt;"",C88&lt;&gt;"",ISNUMBER(G88),ISNUMBER(K88),K88&lt;=G88,K88&gt;0,T88="낙찰",ISNUMBER(L88),L88&gt;0,ISNUMBER(U88),U88&gt;0,COUNTIFS(A$2:A$301,A88,B$2:B$301,B88,C$2:C$301,C88,G$2:G$301,G88)=1),"평가 가능","")</f>
        <v/>
      </c>
      <c r="X88" s="8">
        <f>IF(W88="평가 가능",(L88-U88)/U88,"")</f>
        <v/>
      </c>
      <c r="Y88" s="8">
        <f>IF(W88="평가 가능",ABS(X88),"")</f>
        <v/>
      </c>
      <c r="Z88" s="7">
        <f>IF(AND(ISNUMBER(M88),M88&gt;0,ISNUMBER(I88)),IF(M88&lt;I88,"최저가 미달",IF(M88=I88,"최저가 동액","최저가 초과")),"")</f>
        <v/>
      </c>
      <c r="AA88" s="7">
        <f>IF(AND(T88="낙찰",ISNUMBER(M88),M88&gt;0,ISNUMBER(U88)),IF(M88&lt;U88,"실제 낙찰가 미만",IF(M88=U88,"실제 낙찰가 동액","실제 낙찰가 초과")),"")</f>
        <v/>
      </c>
      <c r="AB88" s="7">
        <f>IF(AND(ISNUMBER(M88),M88&gt;0,ISNUMBER(R88)),IF(M88&lt;R88,"상한가 미만",IF(M88=R88,"상한가 동액","상한가 초과")),"")</f>
        <v/>
      </c>
      <c r="AC88" s="2" t="n"/>
      <c r="AD88" s="7">
        <f>IF(COUNTA(A88:Q88,S88:V88,AC88)=0,"",IF(OR(A88="",B88="",C88="",NOT(ISNUMBER(G88))),"식별값 확인",IF(COUNTIFS(A$2:A$301,A88,B$2:B$301,B88,C$2:C$301,C88,G$2:G$301,G88)&gt;1,"중복 회차",IF(AND(ISNUMBER(K88),K88&gt;G88),"기일 후 예측",IF(AND(T88="낙찰",W88=""),"평가 입력 확인","")))))</f>
        <v/>
      </c>
    </row>
    <row r="89">
      <c r="A89" s="3" t="n"/>
      <c r="B89" s="3" t="n"/>
      <c r="C89" s="3" t="n"/>
      <c r="D89" s="3" t="n"/>
      <c r="E89" s="3" t="n"/>
      <c r="F89" s="3" t="n"/>
      <c r="G89" s="9" t="n"/>
      <c r="H89" s="10" t="n"/>
      <c r="I89" s="10" t="n"/>
      <c r="J89" s="3" t="n"/>
      <c r="K89" s="9" t="n"/>
      <c r="L89" s="10" t="n"/>
      <c r="M89" s="10" t="n"/>
      <c r="N89" s="3" t="n"/>
      <c r="O89" s="10" t="n"/>
      <c r="P89" s="10" t="n"/>
      <c r="Q89" s="10" t="n"/>
      <c r="R89" s="6">
        <f>IF(COUNT(O89:Q89)=3,O89-P89-Q89,"")</f>
        <v/>
      </c>
      <c r="S89" s="3" t="n"/>
      <c r="T89" s="3" t="n"/>
      <c r="U89" s="10" t="n"/>
      <c r="V89" s="3" t="n"/>
      <c r="W89" s="7">
        <f>IF(AND(A89&lt;&gt;"",B89&lt;&gt;"",C89&lt;&gt;"",ISNUMBER(G89),ISNUMBER(K89),K89&lt;=G89,K89&gt;0,T89="낙찰",ISNUMBER(L89),L89&gt;0,ISNUMBER(U89),U89&gt;0,COUNTIFS(A$2:A$301,A89,B$2:B$301,B89,C$2:C$301,C89,G$2:G$301,G89)=1),"평가 가능","")</f>
        <v/>
      </c>
      <c r="X89" s="8">
        <f>IF(W89="평가 가능",(L89-U89)/U89,"")</f>
        <v/>
      </c>
      <c r="Y89" s="8">
        <f>IF(W89="평가 가능",ABS(X89),"")</f>
        <v/>
      </c>
      <c r="Z89" s="7">
        <f>IF(AND(ISNUMBER(M89),M89&gt;0,ISNUMBER(I89)),IF(M89&lt;I89,"최저가 미달",IF(M89=I89,"최저가 동액","최저가 초과")),"")</f>
        <v/>
      </c>
      <c r="AA89" s="7">
        <f>IF(AND(T89="낙찰",ISNUMBER(M89),M89&gt;0,ISNUMBER(U89)),IF(M89&lt;U89,"실제 낙찰가 미만",IF(M89=U89,"실제 낙찰가 동액","실제 낙찰가 초과")),"")</f>
        <v/>
      </c>
      <c r="AB89" s="7">
        <f>IF(AND(ISNUMBER(M89),M89&gt;0,ISNUMBER(R89)),IF(M89&lt;R89,"상한가 미만",IF(M89=R89,"상한가 동액","상한가 초과")),"")</f>
        <v/>
      </c>
      <c r="AC89" s="3" t="n"/>
      <c r="AD89" s="7">
        <f>IF(COUNTA(A89:Q89,S89:V89,AC89)=0,"",IF(OR(A89="",B89="",C89="",NOT(ISNUMBER(G89))),"식별값 확인",IF(COUNTIFS(A$2:A$301,A89,B$2:B$301,B89,C$2:C$301,C89,G$2:G$301,G89)&gt;1,"중복 회차",IF(AND(ISNUMBER(K89),K89&gt;G89),"기일 후 예측",IF(AND(T89="낙찰",W89=""),"평가 입력 확인","")))))</f>
        <v/>
      </c>
    </row>
    <row r="90">
      <c r="A90" s="2" t="n"/>
      <c r="B90" s="2" t="n"/>
      <c r="C90" s="2" t="n"/>
      <c r="D90" s="2" t="n"/>
      <c r="E90" s="2" t="n"/>
      <c r="F90" s="2" t="n"/>
      <c r="G90" s="4" t="n"/>
      <c r="H90" s="5" t="n"/>
      <c r="I90" s="5" t="n"/>
      <c r="J90" s="2" t="n"/>
      <c r="K90" s="4" t="n"/>
      <c r="L90" s="5" t="n"/>
      <c r="M90" s="5" t="n"/>
      <c r="N90" s="2" t="n"/>
      <c r="O90" s="5" t="n"/>
      <c r="P90" s="5" t="n"/>
      <c r="Q90" s="5" t="n"/>
      <c r="R90" s="6">
        <f>IF(COUNT(O90:Q90)=3,O90-P90-Q90,"")</f>
        <v/>
      </c>
      <c r="S90" s="2" t="n"/>
      <c r="T90" s="2" t="n"/>
      <c r="U90" s="5" t="n"/>
      <c r="V90" s="2" t="n"/>
      <c r="W90" s="7">
        <f>IF(AND(A90&lt;&gt;"",B90&lt;&gt;"",C90&lt;&gt;"",ISNUMBER(G90),ISNUMBER(K90),K90&lt;=G90,K90&gt;0,T90="낙찰",ISNUMBER(L90),L90&gt;0,ISNUMBER(U90),U90&gt;0,COUNTIFS(A$2:A$301,A90,B$2:B$301,B90,C$2:C$301,C90,G$2:G$301,G90)=1),"평가 가능","")</f>
        <v/>
      </c>
      <c r="X90" s="8">
        <f>IF(W90="평가 가능",(L90-U90)/U90,"")</f>
        <v/>
      </c>
      <c r="Y90" s="8">
        <f>IF(W90="평가 가능",ABS(X90),"")</f>
        <v/>
      </c>
      <c r="Z90" s="7">
        <f>IF(AND(ISNUMBER(M90),M90&gt;0,ISNUMBER(I90)),IF(M90&lt;I90,"최저가 미달",IF(M90=I90,"최저가 동액","최저가 초과")),"")</f>
        <v/>
      </c>
      <c r="AA90" s="7">
        <f>IF(AND(T90="낙찰",ISNUMBER(M90),M90&gt;0,ISNUMBER(U90)),IF(M90&lt;U90,"실제 낙찰가 미만",IF(M90=U90,"실제 낙찰가 동액","실제 낙찰가 초과")),"")</f>
        <v/>
      </c>
      <c r="AB90" s="7">
        <f>IF(AND(ISNUMBER(M90),M90&gt;0,ISNUMBER(R90)),IF(M90&lt;R90,"상한가 미만",IF(M90=R90,"상한가 동액","상한가 초과")),"")</f>
        <v/>
      </c>
      <c r="AC90" s="2" t="n"/>
      <c r="AD90" s="7">
        <f>IF(COUNTA(A90:Q90,S90:V90,AC90)=0,"",IF(OR(A90="",B90="",C90="",NOT(ISNUMBER(G90))),"식별값 확인",IF(COUNTIFS(A$2:A$301,A90,B$2:B$301,B90,C$2:C$301,C90,G$2:G$301,G90)&gt;1,"중복 회차",IF(AND(ISNUMBER(K90),K90&gt;G90),"기일 후 예측",IF(AND(T90="낙찰",W90=""),"평가 입력 확인","")))))</f>
        <v/>
      </c>
    </row>
    <row r="91">
      <c r="A91" s="3" t="n"/>
      <c r="B91" s="3" t="n"/>
      <c r="C91" s="3" t="n"/>
      <c r="D91" s="3" t="n"/>
      <c r="E91" s="3" t="n"/>
      <c r="F91" s="3" t="n"/>
      <c r="G91" s="9" t="n"/>
      <c r="H91" s="10" t="n"/>
      <c r="I91" s="10" t="n"/>
      <c r="J91" s="3" t="n"/>
      <c r="K91" s="9" t="n"/>
      <c r="L91" s="10" t="n"/>
      <c r="M91" s="10" t="n"/>
      <c r="N91" s="3" t="n"/>
      <c r="O91" s="10" t="n"/>
      <c r="P91" s="10" t="n"/>
      <c r="Q91" s="10" t="n"/>
      <c r="R91" s="6">
        <f>IF(COUNT(O91:Q91)=3,O91-P91-Q91,"")</f>
        <v/>
      </c>
      <c r="S91" s="3" t="n"/>
      <c r="T91" s="3" t="n"/>
      <c r="U91" s="10" t="n"/>
      <c r="V91" s="3" t="n"/>
      <c r="W91" s="7">
        <f>IF(AND(A91&lt;&gt;"",B91&lt;&gt;"",C91&lt;&gt;"",ISNUMBER(G91),ISNUMBER(K91),K91&lt;=G91,K91&gt;0,T91="낙찰",ISNUMBER(L91),L91&gt;0,ISNUMBER(U91),U91&gt;0,COUNTIFS(A$2:A$301,A91,B$2:B$301,B91,C$2:C$301,C91,G$2:G$301,G91)=1),"평가 가능","")</f>
        <v/>
      </c>
      <c r="X91" s="8">
        <f>IF(W91="평가 가능",(L91-U91)/U91,"")</f>
        <v/>
      </c>
      <c r="Y91" s="8">
        <f>IF(W91="평가 가능",ABS(X91),"")</f>
        <v/>
      </c>
      <c r="Z91" s="7">
        <f>IF(AND(ISNUMBER(M91),M91&gt;0,ISNUMBER(I91)),IF(M91&lt;I91,"최저가 미달",IF(M91=I91,"최저가 동액","최저가 초과")),"")</f>
        <v/>
      </c>
      <c r="AA91" s="7">
        <f>IF(AND(T91="낙찰",ISNUMBER(M91),M91&gt;0,ISNUMBER(U91)),IF(M91&lt;U91,"실제 낙찰가 미만",IF(M91=U91,"실제 낙찰가 동액","실제 낙찰가 초과")),"")</f>
        <v/>
      </c>
      <c r="AB91" s="7">
        <f>IF(AND(ISNUMBER(M91),M91&gt;0,ISNUMBER(R91)),IF(M91&lt;R91,"상한가 미만",IF(M91=R91,"상한가 동액","상한가 초과")),"")</f>
        <v/>
      </c>
      <c r="AC91" s="3" t="n"/>
      <c r="AD91" s="7">
        <f>IF(COUNTA(A91:Q91,S91:V91,AC91)=0,"",IF(OR(A91="",B91="",C91="",NOT(ISNUMBER(G91))),"식별값 확인",IF(COUNTIFS(A$2:A$301,A91,B$2:B$301,B91,C$2:C$301,C91,G$2:G$301,G91)&gt;1,"중복 회차",IF(AND(ISNUMBER(K91),K91&gt;G91),"기일 후 예측",IF(AND(T91="낙찰",W91=""),"평가 입력 확인","")))))</f>
        <v/>
      </c>
    </row>
    <row r="92">
      <c r="A92" s="2" t="n"/>
      <c r="B92" s="2" t="n"/>
      <c r="C92" s="2" t="n"/>
      <c r="D92" s="2" t="n"/>
      <c r="E92" s="2" t="n"/>
      <c r="F92" s="2" t="n"/>
      <c r="G92" s="4" t="n"/>
      <c r="H92" s="5" t="n"/>
      <c r="I92" s="5" t="n"/>
      <c r="J92" s="2" t="n"/>
      <c r="K92" s="4" t="n"/>
      <c r="L92" s="5" t="n"/>
      <c r="M92" s="5" t="n"/>
      <c r="N92" s="2" t="n"/>
      <c r="O92" s="5" t="n"/>
      <c r="P92" s="5" t="n"/>
      <c r="Q92" s="5" t="n"/>
      <c r="R92" s="6">
        <f>IF(COUNT(O92:Q92)=3,O92-P92-Q92,"")</f>
        <v/>
      </c>
      <c r="S92" s="2" t="n"/>
      <c r="T92" s="2" t="n"/>
      <c r="U92" s="5" t="n"/>
      <c r="V92" s="2" t="n"/>
      <c r="W92" s="7">
        <f>IF(AND(A92&lt;&gt;"",B92&lt;&gt;"",C92&lt;&gt;"",ISNUMBER(G92),ISNUMBER(K92),K92&lt;=G92,K92&gt;0,T92="낙찰",ISNUMBER(L92),L92&gt;0,ISNUMBER(U92),U92&gt;0,COUNTIFS(A$2:A$301,A92,B$2:B$301,B92,C$2:C$301,C92,G$2:G$301,G92)=1),"평가 가능","")</f>
        <v/>
      </c>
      <c r="X92" s="8">
        <f>IF(W92="평가 가능",(L92-U92)/U92,"")</f>
        <v/>
      </c>
      <c r="Y92" s="8">
        <f>IF(W92="평가 가능",ABS(X92),"")</f>
        <v/>
      </c>
      <c r="Z92" s="7">
        <f>IF(AND(ISNUMBER(M92),M92&gt;0,ISNUMBER(I92)),IF(M92&lt;I92,"최저가 미달",IF(M92=I92,"최저가 동액","최저가 초과")),"")</f>
        <v/>
      </c>
      <c r="AA92" s="7">
        <f>IF(AND(T92="낙찰",ISNUMBER(M92),M92&gt;0,ISNUMBER(U92)),IF(M92&lt;U92,"실제 낙찰가 미만",IF(M92=U92,"실제 낙찰가 동액","실제 낙찰가 초과")),"")</f>
        <v/>
      </c>
      <c r="AB92" s="7">
        <f>IF(AND(ISNUMBER(M92),M92&gt;0,ISNUMBER(R92)),IF(M92&lt;R92,"상한가 미만",IF(M92=R92,"상한가 동액","상한가 초과")),"")</f>
        <v/>
      </c>
      <c r="AC92" s="2" t="n"/>
      <c r="AD92" s="7">
        <f>IF(COUNTA(A92:Q92,S92:V92,AC92)=0,"",IF(OR(A92="",B92="",C92="",NOT(ISNUMBER(G92))),"식별값 확인",IF(COUNTIFS(A$2:A$301,A92,B$2:B$301,B92,C$2:C$301,C92,G$2:G$301,G92)&gt;1,"중복 회차",IF(AND(ISNUMBER(K92),K92&gt;G92),"기일 후 예측",IF(AND(T92="낙찰",W92=""),"평가 입력 확인","")))))</f>
        <v/>
      </c>
    </row>
    <row r="93">
      <c r="A93" s="3" t="n"/>
      <c r="B93" s="3" t="n"/>
      <c r="C93" s="3" t="n"/>
      <c r="D93" s="3" t="n"/>
      <c r="E93" s="3" t="n"/>
      <c r="F93" s="3" t="n"/>
      <c r="G93" s="9" t="n"/>
      <c r="H93" s="10" t="n"/>
      <c r="I93" s="10" t="n"/>
      <c r="J93" s="3" t="n"/>
      <c r="K93" s="9" t="n"/>
      <c r="L93" s="10" t="n"/>
      <c r="M93" s="10" t="n"/>
      <c r="N93" s="3" t="n"/>
      <c r="O93" s="10" t="n"/>
      <c r="P93" s="10" t="n"/>
      <c r="Q93" s="10" t="n"/>
      <c r="R93" s="6">
        <f>IF(COUNT(O93:Q93)=3,O93-P93-Q93,"")</f>
        <v/>
      </c>
      <c r="S93" s="3" t="n"/>
      <c r="T93" s="3" t="n"/>
      <c r="U93" s="10" t="n"/>
      <c r="V93" s="3" t="n"/>
      <c r="W93" s="7">
        <f>IF(AND(A93&lt;&gt;"",B93&lt;&gt;"",C93&lt;&gt;"",ISNUMBER(G93),ISNUMBER(K93),K93&lt;=G93,K93&gt;0,T93="낙찰",ISNUMBER(L93),L93&gt;0,ISNUMBER(U93),U93&gt;0,COUNTIFS(A$2:A$301,A93,B$2:B$301,B93,C$2:C$301,C93,G$2:G$301,G93)=1),"평가 가능","")</f>
        <v/>
      </c>
      <c r="X93" s="8">
        <f>IF(W93="평가 가능",(L93-U93)/U93,"")</f>
        <v/>
      </c>
      <c r="Y93" s="8">
        <f>IF(W93="평가 가능",ABS(X93),"")</f>
        <v/>
      </c>
      <c r="Z93" s="7">
        <f>IF(AND(ISNUMBER(M93),M93&gt;0,ISNUMBER(I93)),IF(M93&lt;I93,"최저가 미달",IF(M93=I93,"최저가 동액","최저가 초과")),"")</f>
        <v/>
      </c>
      <c r="AA93" s="7">
        <f>IF(AND(T93="낙찰",ISNUMBER(M93),M93&gt;0,ISNUMBER(U93)),IF(M93&lt;U93,"실제 낙찰가 미만",IF(M93=U93,"실제 낙찰가 동액","실제 낙찰가 초과")),"")</f>
        <v/>
      </c>
      <c r="AB93" s="7">
        <f>IF(AND(ISNUMBER(M93),M93&gt;0,ISNUMBER(R93)),IF(M93&lt;R93,"상한가 미만",IF(M93=R93,"상한가 동액","상한가 초과")),"")</f>
        <v/>
      </c>
      <c r="AC93" s="3" t="n"/>
      <c r="AD93" s="7">
        <f>IF(COUNTA(A93:Q93,S93:V93,AC93)=0,"",IF(OR(A93="",B93="",C93="",NOT(ISNUMBER(G93))),"식별값 확인",IF(COUNTIFS(A$2:A$301,A93,B$2:B$301,B93,C$2:C$301,C93,G$2:G$301,G93)&gt;1,"중복 회차",IF(AND(ISNUMBER(K93),K93&gt;G93),"기일 후 예측",IF(AND(T93="낙찰",W93=""),"평가 입력 확인","")))))</f>
        <v/>
      </c>
    </row>
    <row r="94">
      <c r="A94" s="2" t="n"/>
      <c r="B94" s="2" t="n"/>
      <c r="C94" s="2" t="n"/>
      <c r="D94" s="2" t="n"/>
      <c r="E94" s="2" t="n"/>
      <c r="F94" s="2" t="n"/>
      <c r="G94" s="4" t="n"/>
      <c r="H94" s="5" t="n"/>
      <c r="I94" s="5" t="n"/>
      <c r="J94" s="2" t="n"/>
      <c r="K94" s="4" t="n"/>
      <c r="L94" s="5" t="n"/>
      <c r="M94" s="5" t="n"/>
      <c r="N94" s="2" t="n"/>
      <c r="O94" s="5" t="n"/>
      <c r="P94" s="5" t="n"/>
      <c r="Q94" s="5" t="n"/>
      <c r="R94" s="6">
        <f>IF(COUNT(O94:Q94)=3,O94-P94-Q94,"")</f>
        <v/>
      </c>
      <c r="S94" s="2" t="n"/>
      <c r="T94" s="2" t="n"/>
      <c r="U94" s="5" t="n"/>
      <c r="V94" s="2" t="n"/>
      <c r="W94" s="7">
        <f>IF(AND(A94&lt;&gt;"",B94&lt;&gt;"",C94&lt;&gt;"",ISNUMBER(G94),ISNUMBER(K94),K94&lt;=G94,K94&gt;0,T94="낙찰",ISNUMBER(L94),L94&gt;0,ISNUMBER(U94),U94&gt;0,COUNTIFS(A$2:A$301,A94,B$2:B$301,B94,C$2:C$301,C94,G$2:G$301,G94)=1),"평가 가능","")</f>
        <v/>
      </c>
      <c r="X94" s="8">
        <f>IF(W94="평가 가능",(L94-U94)/U94,"")</f>
        <v/>
      </c>
      <c r="Y94" s="8">
        <f>IF(W94="평가 가능",ABS(X94),"")</f>
        <v/>
      </c>
      <c r="Z94" s="7">
        <f>IF(AND(ISNUMBER(M94),M94&gt;0,ISNUMBER(I94)),IF(M94&lt;I94,"최저가 미달",IF(M94=I94,"최저가 동액","최저가 초과")),"")</f>
        <v/>
      </c>
      <c r="AA94" s="7">
        <f>IF(AND(T94="낙찰",ISNUMBER(M94),M94&gt;0,ISNUMBER(U94)),IF(M94&lt;U94,"실제 낙찰가 미만",IF(M94=U94,"실제 낙찰가 동액","실제 낙찰가 초과")),"")</f>
        <v/>
      </c>
      <c r="AB94" s="7">
        <f>IF(AND(ISNUMBER(M94),M94&gt;0,ISNUMBER(R94)),IF(M94&lt;R94,"상한가 미만",IF(M94=R94,"상한가 동액","상한가 초과")),"")</f>
        <v/>
      </c>
      <c r="AC94" s="2" t="n"/>
      <c r="AD94" s="7">
        <f>IF(COUNTA(A94:Q94,S94:V94,AC94)=0,"",IF(OR(A94="",B94="",C94="",NOT(ISNUMBER(G94))),"식별값 확인",IF(COUNTIFS(A$2:A$301,A94,B$2:B$301,B94,C$2:C$301,C94,G$2:G$301,G94)&gt;1,"중복 회차",IF(AND(ISNUMBER(K94),K94&gt;G94),"기일 후 예측",IF(AND(T94="낙찰",W94=""),"평가 입력 확인","")))))</f>
        <v/>
      </c>
    </row>
    <row r="95">
      <c r="A95" s="3" t="n"/>
      <c r="B95" s="3" t="n"/>
      <c r="C95" s="3" t="n"/>
      <c r="D95" s="3" t="n"/>
      <c r="E95" s="3" t="n"/>
      <c r="F95" s="3" t="n"/>
      <c r="G95" s="9" t="n"/>
      <c r="H95" s="10" t="n"/>
      <c r="I95" s="10" t="n"/>
      <c r="J95" s="3" t="n"/>
      <c r="K95" s="9" t="n"/>
      <c r="L95" s="10" t="n"/>
      <c r="M95" s="10" t="n"/>
      <c r="N95" s="3" t="n"/>
      <c r="O95" s="10" t="n"/>
      <c r="P95" s="10" t="n"/>
      <c r="Q95" s="10" t="n"/>
      <c r="R95" s="6">
        <f>IF(COUNT(O95:Q95)=3,O95-P95-Q95,"")</f>
        <v/>
      </c>
      <c r="S95" s="3" t="n"/>
      <c r="T95" s="3" t="n"/>
      <c r="U95" s="10" t="n"/>
      <c r="V95" s="3" t="n"/>
      <c r="W95" s="7">
        <f>IF(AND(A95&lt;&gt;"",B95&lt;&gt;"",C95&lt;&gt;"",ISNUMBER(G95),ISNUMBER(K95),K95&lt;=G95,K95&gt;0,T95="낙찰",ISNUMBER(L95),L95&gt;0,ISNUMBER(U95),U95&gt;0,COUNTIFS(A$2:A$301,A95,B$2:B$301,B95,C$2:C$301,C95,G$2:G$301,G95)=1),"평가 가능","")</f>
        <v/>
      </c>
      <c r="X95" s="8">
        <f>IF(W95="평가 가능",(L95-U95)/U95,"")</f>
        <v/>
      </c>
      <c r="Y95" s="8">
        <f>IF(W95="평가 가능",ABS(X95),"")</f>
        <v/>
      </c>
      <c r="Z95" s="7">
        <f>IF(AND(ISNUMBER(M95),M95&gt;0,ISNUMBER(I95)),IF(M95&lt;I95,"최저가 미달",IF(M95=I95,"최저가 동액","최저가 초과")),"")</f>
        <v/>
      </c>
      <c r="AA95" s="7">
        <f>IF(AND(T95="낙찰",ISNUMBER(M95),M95&gt;0,ISNUMBER(U95)),IF(M95&lt;U95,"실제 낙찰가 미만",IF(M95=U95,"실제 낙찰가 동액","실제 낙찰가 초과")),"")</f>
        <v/>
      </c>
      <c r="AB95" s="7">
        <f>IF(AND(ISNUMBER(M95),M95&gt;0,ISNUMBER(R95)),IF(M95&lt;R95,"상한가 미만",IF(M95=R95,"상한가 동액","상한가 초과")),"")</f>
        <v/>
      </c>
      <c r="AC95" s="3" t="n"/>
      <c r="AD95" s="7">
        <f>IF(COUNTA(A95:Q95,S95:V95,AC95)=0,"",IF(OR(A95="",B95="",C95="",NOT(ISNUMBER(G95))),"식별값 확인",IF(COUNTIFS(A$2:A$301,A95,B$2:B$301,B95,C$2:C$301,C95,G$2:G$301,G95)&gt;1,"중복 회차",IF(AND(ISNUMBER(K95),K95&gt;G95),"기일 후 예측",IF(AND(T95="낙찰",W95=""),"평가 입력 확인","")))))</f>
        <v/>
      </c>
    </row>
    <row r="96">
      <c r="A96" s="2" t="n"/>
      <c r="B96" s="2" t="n"/>
      <c r="C96" s="2" t="n"/>
      <c r="D96" s="2" t="n"/>
      <c r="E96" s="2" t="n"/>
      <c r="F96" s="2" t="n"/>
      <c r="G96" s="4" t="n"/>
      <c r="H96" s="5" t="n"/>
      <c r="I96" s="5" t="n"/>
      <c r="J96" s="2" t="n"/>
      <c r="K96" s="4" t="n"/>
      <c r="L96" s="5" t="n"/>
      <c r="M96" s="5" t="n"/>
      <c r="N96" s="2" t="n"/>
      <c r="O96" s="5" t="n"/>
      <c r="P96" s="5" t="n"/>
      <c r="Q96" s="5" t="n"/>
      <c r="R96" s="6">
        <f>IF(COUNT(O96:Q96)=3,O96-P96-Q96,"")</f>
        <v/>
      </c>
      <c r="S96" s="2" t="n"/>
      <c r="T96" s="2" t="n"/>
      <c r="U96" s="5" t="n"/>
      <c r="V96" s="2" t="n"/>
      <c r="W96" s="7">
        <f>IF(AND(A96&lt;&gt;"",B96&lt;&gt;"",C96&lt;&gt;"",ISNUMBER(G96),ISNUMBER(K96),K96&lt;=G96,K96&gt;0,T96="낙찰",ISNUMBER(L96),L96&gt;0,ISNUMBER(U96),U96&gt;0,COUNTIFS(A$2:A$301,A96,B$2:B$301,B96,C$2:C$301,C96,G$2:G$301,G96)=1),"평가 가능","")</f>
        <v/>
      </c>
      <c r="X96" s="8">
        <f>IF(W96="평가 가능",(L96-U96)/U96,"")</f>
        <v/>
      </c>
      <c r="Y96" s="8">
        <f>IF(W96="평가 가능",ABS(X96),"")</f>
        <v/>
      </c>
      <c r="Z96" s="7">
        <f>IF(AND(ISNUMBER(M96),M96&gt;0,ISNUMBER(I96)),IF(M96&lt;I96,"최저가 미달",IF(M96=I96,"최저가 동액","최저가 초과")),"")</f>
        <v/>
      </c>
      <c r="AA96" s="7">
        <f>IF(AND(T96="낙찰",ISNUMBER(M96),M96&gt;0,ISNUMBER(U96)),IF(M96&lt;U96,"실제 낙찰가 미만",IF(M96=U96,"실제 낙찰가 동액","실제 낙찰가 초과")),"")</f>
        <v/>
      </c>
      <c r="AB96" s="7">
        <f>IF(AND(ISNUMBER(M96),M96&gt;0,ISNUMBER(R96)),IF(M96&lt;R96,"상한가 미만",IF(M96=R96,"상한가 동액","상한가 초과")),"")</f>
        <v/>
      </c>
      <c r="AC96" s="2" t="n"/>
      <c r="AD96" s="7">
        <f>IF(COUNTA(A96:Q96,S96:V96,AC96)=0,"",IF(OR(A96="",B96="",C96="",NOT(ISNUMBER(G96))),"식별값 확인",IF(COUNTIFS(A$2:A$301,A96,B$2:B$301,B96,C$2:C$301,C96,G$2:G$301,G96)&gt;1,"중복 회차",IF(AND(ISNUMBER(K96),K96&gt;G96),"기일 후 예측",IF(AND(T96="낙찰",W96=""),"평가 입력 확인","")))))</f>
        <v/>
      </c>
    </row>
    <row r="97">
      <c r="A97" s="3" t="n"/>
      <c r="B97" s="3" t="n"/>
      <c r="C97" s="3" t="n"/>
      <c r="D97" s="3" t="n"/>
      <c r="E97" s="3" t="n"/>
      <c r="F97" s="3" t="n"/>
      <c r="G97" s="9" t="n"/>
      <c r="H97" s="10" t="n"/>
      <c r="I97" s="10" t="n"/>
      <c r="J97" s="3" t="n"/>
      <c r="K97" s="9" t="n"/>
      <c r="L97" s="10" t="n"/>
      <c r="M97" s="10" t="n"/>
      <c r="N97" s="3" t="n"/>
      <c r="O97" s="10" t="n"/>
      <c r="P97" s="10" t="n"/>
      <c r="Q97" s="10" t="n"/>
      <c r="R97" s="6">
        <f>IF(COUNT(O97:Q97)=3,O97-P97-Q97,"")</f>
        <v/>
      </c>
      <c r="S97" s="3" t="n"/>
      <c r="T97" s="3" t="n"/>
      <c r="U97" s="10" t="n"/>
      <c r="V97" s="3" t="n"/>
      <c r="W97" s="7">
        <f>IF(AND(A97&lt;&gt;"",B97&lt;&gt;"",C97&lt;&gt;"",ISNUMBER(G97),ISNUMBER(K97),K97&lt;=G97,K97&gt;0,T97="낙찰",ISNUMBER(L97),L97&gt;0,ISNUMBER(U97),U97&gt;0,COUNTIFS(A$2:A$301,A97,B$2:B$301,B97,C$2:C$301,C97,G$2:G$301,G97)=1),"평가 가능","")</f>
        <v/>
      </c>
      <c r="X97" s="8">
        <f>IF(W97="평가 가능",(L97-U97)/U97,"")</f>
        <v/>
      </c>
      <c r="Y97" s="8">
        <f>IF(W97="평가 가능",ABS(X97),"")</f>
        <v/>
      </c>
      <c r="Z97" s="7">
        <f>IF(AND(ISNUMBER(M97),M97&gt;0,ISNUMBER(I97)),IF(M97&lt;I97,"최저가 미달",IF(M97=I97,"최저가 동액","최저가 초과")),"")</f>
        <v/>
      </c>
      <c r="AA97" s="7">
        <f>IF(AND(T97="낙찰",ISNUMBER(M97),M97&gt;0,ISNUMBER(U97)),IF(M97&lt;U97,"실제 낙찰가 미만",IF(M97=U97,"실제 낙찰가 동액","실제 낙찰가 초과")),"")</f>
        <v/>
      </c>
      <c r="AB97" s="7">
        <f>IF(AND(ISNUMBER(M97),M97&gt;0,ISNUMBER(R97)),IF(M97&lt;R97,"상한가 미만",IF(M97=R97,"상한가 동액","상한가 초과")),"")</f>
        <v/>
      </c>
      <c r="AC97" s="3" t="n"/>
      <c r="AD97" s="7">
        <f>IF(COUNTA(A97:Q97,S97:V97,AC97)=0,"",IF(OR(A97="",B97="",C97="",NOT(ISNUMBER(G97))),"식별값 확인",IF(COUNTIFS(A$2:A$301,A97,B$2:B$301,B97,C$2:C$301,C97,G$2:G$301,G97)&gt;1,"중복 회차",IF(AND(ISNUMBER(K97),K97&gt;G97),"기일 후 예측",IF(AND(T97="낙찰",W97=""),"평가 입력 확인","")))))</f>
        <v/>
      </c>
    </row>
    <row r="98">
      <c r="A98" s="2" t="n"/>
      <c r="B98" s="2" t="n"/>
      <c r="C98" s="2" t="n"/>
      <c r="D98" s="2" t="n"/>
      <c r="E98" s="2" t="n"/>
      <c r="F98" s="2" t="n"/>
      <c r="G98" s="4" t="n"/>
      <c r="H98" s="5" t="n"/>
      <c r="I98" s="5" t="n"/>
      <c r="J98" s="2" t="n"/>
      <c r="K98" s="4" t="n"/>
      <c r="L98" s="5" t="n"/>
      <c r="M98" s="5" t="n"/>
      <c r="N98" s="2" t="n"/>
      <c r="O98" s="5" t="n"/>
      <c r="P98" s="5" t="n"/>
      <c r="Q98" s="5" t="n"/>
      <c r="R98" s="6">
        <f>IF(COUNT(O98:Q98)=3,O98-P98-Q98,"")</f>
        <v/>
      </c>
      <c r="S98" s="2" t="n"/>
      <c r="T98" s="2" t="n"/>
      <c r="U98" s="5" t="n"/>
      <c r="V98" s="2" t="n"/>
      <c r="W98" s="7">
        <f>IF(AND(A98&lt;&gt;"",B98&lt;&gt;"",C98&lt;&gt;"",ISNUMBER(G98),ISNUMBER(K98),K98&lt;=G98,K98&gt;0,T98="낙찰",ISNUMBER(L98),L98&gt;0,ISNUMBER(U98),U98&gt;0,COUNTIFS(A$2:A$301,A98,B$2:B$301,B98,C$2:C$301,C98,G$2:G$301,G98)=1),"평가 가능","")</f>
        <v/>
      </c>
      <c r="X98" s="8">
        <f>IF(W98="평가 가능",(L98-U98)/U98,"")</f>
        <v/>
      </c>
      <c r="Y98" s="8">
        <f>IF(W98="평가 가능",ABS(X98),"")</f>
        <v/>
      </c>
      <c r="Z98" s="7">
        <f>IF(AND(ISNUMBER(M98),M98&gt;0,ISNUMBER(I98)),IF(M98&lt;I98,"최저가 미달",IF(M98=I98,"최저가 동액","최저가 초과")),"")</f>
        <v/>
      </c>
      <c r="AA98" s="7">
        <f>IF(AND(T98="낙찰",ISNUMBER(M98),M98&gt;0,ISNUMBER(U98)),IF(M98&lt;U98,"실제 낙찰가 미만",IF(M98=U98,"실제 낙찰가 동액","실제 낙찰가 초과")),"")</f>
        <v/>
      </c>
      <c r="AB98" s="7">
        <f>IF(AND(ISNUMBER(M98),M98&gt;0,ISNUMBER(R98)),IF(M98&lt;R98,"상한가 미만",IF(M98=R98,"상한가 동액","상한가 초과")),"")</f>
        <v/>
      </c>
      <c r="AC98" s="2" t="n"/>
      <c r="AD98" s="7">
        <f>IF(COUNTA(A98:Q98,S98:V98,AC98)=0,"",IF(OR(A98="",B98="",C98="",NOT(ISNUMBER(G98))),"식별값 확인",IF(COUNTIFS(A$2:A$301,A98,B$2:B$301,B98,C$2:C$301,C98,G$2:G$301,G98)&gt;1,"중복 회차",IF(AND(ISNUMBER(K98),K98&gt;G98),"기일 후 예측",IF(AND(T98="낙찰",W98=""),"평가 입력 확인","")))))</f>
        <v/>
      </c>
    </row>
    <row r="99">
      <c r="A99" s="3" t="n"/>
      <c r="B99" s="3" t="n"/>
      <c r="C99" s="3" t="n"/>
      <c r="D99" s="3" t="n"/>
      <c r="E99" s="3" t="n"/>
      <c r="F99" s="3" t="n"/>
      <c r="G99" s="9" t="n"/>
      <c r="H99" s="10" t="n"/>
      <c r="I99" s="10" t="n"/>
      <c r="J99" s="3" t="n"/>
      <c r="K99" s="9" t="n"/>
      <c r="L99" s="10" t="n"/>
      <c r="M99" s="10" t="n"/>
      <c r="N99" s="3" t="n"/>
      <c r="O99" s="10" t="n"/>
      <c r="P99" s="10" t="n"/>
      <c r="Q99" s="10" t="n"/>
      <c r="R99" s="6">
        <f>IF(COUNT(O99:Q99)=3,O99-P99-Q99,"")</f>
        <v/>
      </c>
      <c r="S99" s="3" t="n"/>
      <c r="T99" s="3" t="n"/>
      <c r="U99" s="10" t="n"/>
      <c r="V99" s="3" t="n"/>
      <c r="W99" s="7">
        <f>IF(AND(A99&lt;&gt;"",B99&lt;&gt;"",C99&lt;&gt;"",ISNUMBER(G99),ISNUMBER(K99),K99&lt;=G99,K99&gt;0,T99="낙찰",ISNUMBER(L99),L99&gt;0,ISNUMBER(U99),U99&gt;0,COUNTIFS(A$2:A$301,A99,B$2:B$301,B99,C$2:C$301,C99,G$2:G$301,G99)=1),"평가 가능","")</f>
        <v/>
      </c>
      <c r="X99" s="8">
        <f>IF(W99="평가 가능",(L99-U99)/U99,"")</f>
        <v/>
      </c>
      <c r="Y99" s="8">
        <f>IF(W99="평가 가능",ABS(X99),"")</f>
        <v/>
      </c>
      <c r="Z99" s="7">
        <f>IF(AND(ISNUMBER(M99),M99&gt;0,ISNUMBER(I99)),IF(M99&lt;I99,"최저가 미달",IF(M99=I99,"최저가 동액","최저가 초과")),"")</f>
        <v/>
      </c>
      <c r="AA99" s="7">
        <f>IF(AND(T99="낙찰",ISNUMBER(M99),M99&gt;0,ISNUMBER(U99)),IF(M99&lt;U99,"실제 낙찰가 미만",IF(M99=U99,"실제 낙찰가 동액","실제 낙찰가 초과")),"")</f>
        <v/>
      </c>
      <c r="AB99" s="7">
        <f>IF(AND(ISNUMBER(M99),M99&gt;0,ISNUMBER(R99)),IF(M99&lt;R99,"상한가 미만",IF(M99=R99,"상한가 동액","상한가 초과")),"")</f>
        <v/>
      </c>
      <c r="AC99" s="3" t="n"/>
      <c r="AD99" s="7">
        <f>IF(COUNTA(A99:Q99,S99:V99,AC99)=0,"",IF(OR(A99="",B99="",C99="",NOT(ISNUMBER(G99))),"식별값 확인",IF(COUNTIFS(A$2:A$301,A99,B$2:B$301,B99,C$2:C$301,C99,G$2:G$301,G99)&gt;1,"중복 회차",IF(AND(ISNUMBER(K99),K99&gt;G99),"기일 후 예측",IF(AND(T99="낙찰",W99=""),"평가 입력 확인","")))))</f>
        <v/>
      </c>
    </row>
    <row r="100">
      <c r="A100" s="2" t="n"/>
      <c r="B100" s="2" t="n"/>
      <c r="C100" s="2" t="n"/>
      <c r="D100" s="2" t="n"/>
      <c r="E100" s="2" t="n"/>
      <c r="F100" s="2" t="n"/>
      <c r="G100" s="4" t="n"/>
      <c r="H100" s="5" t="n"/>
      <c r="I100" s="5" t="n"/>
      <c r="J100" s="2" t="n"/>
      <c r="K100" s="4" t="n"/>
      <c r="L100" s="5" t="n"/>
      <c r="M100" s="5" t="n"/>
      <c r="N100" s="2" t="n"/>
      <c r="O100" s="5" t="n"/>
      <c r="P100" s="5" t="n"/>
      <c r="Q100" s="5" t="n"/>
      <c r="R100" s="6">
        <f>IF(COUNT(O100:Q100)=3,O100-P100-Q100,"")</f>
        <v/>
      </c>
      <c r="S100" s="2" t="n"/>
      <c r="T100" s="2" t="n"/>
      <c r="U100" s="5" t="n"/>
      <c r="V100" s="2" t="n"/>
      <c r="W100" s="7">
        <f>IF(AND(A100&lt;&gt;"",B100&lt;&gt;"",C100&lt;&gt;"",ISNUMBER(G100),ISNUMBER(K100),K100&lt;=G100,K100&gt;0,T100="낙찰",ISNUMBER(L100),L100&gt;0,ISNUMBER(U100),U100&gt;0,COUNTIFS(A$2:A$301,A100,B$2:B$301,B100,C$2:C$301,C100,G$2:G$301,G100)=1),"평가 가능","")</f>
        <v/>
      </c>
      <c r="X100" s="8">
        <f>IF(W100="평가 가능",(L100-U100)/U100,"")</f>
        <v/>
      </c>
      <c r="Y100" s="8">
        <f>IF(W100="평가 가능",ABS(X100),"")</f>
        <v/>
      </c>
      <c r="Z100" s="7">
        <f>IF(AND(ISNUMBER(M100),M100&gt;0,ISNUMBER(I100)),IF(M100&lt;I100,"최저가 미달",IF(M100=I100,"최저가 동액","최저가 초과")),"")</f>
        <v/>
      </c>
      <c r="AA100" s="7">
        <f>IF(AND(T100="낙찰",ISNUMBER(M100),M100&gt;0,ISNUMBER(U100)),IF(M100&lt;U100,"실제 낙찰가 미만",IF(M100=U100,"실제 낙찰가 동액","실제 낙찰가 초과")),"")</f>
        <v/>
      </c>
      <c r="AB100" s="7">
        <f>IF(AND(ISNUMBER(M100),M100&gt;0,ISNUMBER(R100)),IF(M100&lt;R100,"상한가 미만",IF(M100=R100,"상한가 동액","상한가 초과")),"")</f>
        <v/>
      </c>
      <c r="AC100" s="2" t="n"/>
      <c r="AD100" s="7">
        <f>IF(COUNTA(A100:Q100,S100:V100,AC100)=0,"",IF(OR(A100="",B100="",C100="",NOT(ISNUMBER(G100))),"식별값 확인",IF(COUNTIFS(A$2:A$301,A100,B$2:B$301,B100,C$2:C$301,C100,G$2:G$301,G100)&gt;1,"중복 회차",IF(AND(ISNUMBER(K100),K100&gt;G100),"기일 후 예측",IF(AND(T100="낙찰",W100=""),"평가 입력 확인","")))))</f>
        <v/>
      </c>
    </row>
    <row r="101">
      <c r="A101" s="3" t="n"/>
      <c r="B101" s="3" t="n"/>
      <c r="C101" s="3" t="n"/>
      <c r="D101" s="3" t="n"/>
      <c r="E101" s="3" t="n"/>
      <c r="F101" s="3" t="n"/>
      <c r="G101" s="9" t="n"/>
      <c r="H101" s="10" t="n"/>
      <c r="I101" s="10" t="n"/>
      <c r="J101" s="3" t="n"/>
      <c r="K101" s="9" t="n"/>
      <c r="L101" s="10" t="n"/>
      <c r="M101" s="10" t="n"/>
      <c r="N101" s="3" t="n"/>
      <c r="O101" s="10" t="n"/>
      <c r="P101" s="10" t="n"/>
      <c r="Q101" s="10" t="n"/>
      <c r="R101" s="6">
        <f>IF(COUNT(O101:Q101)=3,O101-P101-Q101,"")</f>
        <v/>
      </c>
      <c r="S101" s="3" t="n"/>
      <c r="T101" s="3" t="n"/>
      <c r="U101" s="10" t="n"/>
      <c r="V101" s="3" t="n"/>
      <c r="W101" s="7">
        <f>IF(AND(A101&lt;&gt;"",B101&lt;&gt;"",C101&lt;&gt;"",ISNUMBER(G101),ISNUMBER(K101),K101&lt;=G101,K101&gt;0,T101="낙찰",ISNUMBER(L101),L101&gt;0,ISNUMBER(U101),U101&gt;0,COUNTIFS(A$2:A$301,A101,B$2:B$301,B101,C$2:C$301,C101,G$2:G$301,G101)=1),"평가 가능","")</f>
        <v/>
      </c>
      <c r="X101" s="8">
        <f>IF(W101="평가 가능",(L101-U101)/U101,"")</f>
        <v/>
      </c>
      <c r="Y101" s="8">
        <f>IF(W101="평가 가능",ABS(X101),"")</f>
        <v/>
      </c>
      <c r="Z101" s="7">
        <f>IF(AND(ISNUMBER(M101),M101&gt;0,ISNUMBER(I101)),IF(M101&lt;I101,"최저가 미달",IF(M101=I101,"최저가 동액","최저가 초과")),"")</f>
        <v/>
      </c>
      <c r="AA101" s="7">
        <f>IF(AND(T101="낙찰",ISNUMBER(M101),M101&gt;0,ISNUMBER(U101)),IF(M101&lt;U101,"실제 낙찰가 미만",IF(M101=U101,"실제 낙찰가 동액","실제 낙찰가 초과")),"")</f>
        <v/>
      </c>
      <c r="AB101" s="7">
        <f>IF(AND(ISNUMBER(M101),M101&gt;0,ISNUMBER(R101)),IF(M101&lt;R101,"상한가 미만",IF(M101=R101,"상한가 동액","상한가 초과")),"")</f>
        <v/>
      </c>
      <c r="AC101" s="3" t="n"/>
      <c r="AD101" s="7">
        <f>IF(COUNTA(A101:Q101,S101:V101,AC101)=0,"",IF(OR(A101="",B101="",C101="",NOT(ISNUMBER(G101))),"식별값 확인",IF(COUNTIFS(A$2:A$301,A101,B$2:B$301,B101,C$2:C$301,C101,G$2:G$301,G101)&gt;1,"중복 회차",IF(AND(ISNUMBER(K101),K101&gt;G101),"기일 후 예측",IF(AND(T101="낙찰",W101=""),"평가 입력 확인","")))))</f>
        <v/>
      </c>
    </row>
    <row r="102">
      <c r="A102" s="2" t="n"/>
      <c r="B102" s="2" t="n"/>
      <c r="C102" s="2" t="n"/>
      <c r="D102" s="2" t="n"/>
      <c r="E102" s="2" t="n"/>
      <c r="F102" s="2" t="n"/>
      <c r="G102" s="4" t="n"/>
      <c r="H102" s="5" t="n"/>
      <c r="I102" s="5" t="n"/>
      <c r="J102" s="2" t="n"/>
      <c r="K102" s="4" t="n"/>
      <c r="L102" s="5" t="n"/>
      <c r="M102" s="5" t="n"/>
      <c r="N102" s="2" t="n"/>
      <c r="O102" s="5" t="n"/>
      <c r="P102" s="5" t="n"/>
      <c r="Q102" s="5" t="n"/>
      <c r="R102" s="6">
        <f>IF(COUNT(O102:Q102)=3,O102-P102-Q102,"")</f>
        <v/>
      </c>
      <c r="S102" s="2" t="n"/>
      <c r="T102" s="2" t="n"/>
      <c r="U102" s="5" t="n"/>
      <c r="V102" s="2" t="n"/>
      <c r="W102" s="7">
        <f>IF(AND(A102&lt;&gt;"",B102&lt;&gt;"",C102&lt;&gt;"",ISNUMBER(G102),ISNUMBER(K102),K102&lt;=G102,K102&gt;0,T102="낙찰",ISNUMBER(L102),L102&gt;0,ISNUMBER(U102),U102&gt;0,COUNTIFS(A$2:A$301,A102,B$2:B$301,B102,C$2:C$301,C102,G$2:G$301,G102)=1),"평가 가능","")</f>
        <v/>
      </c>
      <c r="X102" s="8">
        <f>IF(W102="평가 가능",(L102-U102)/U102,"")</f>
        <v/>
      </c>
      <c r="Y102" s="8">
        <f>IF(W102="평가 가능",ABS(X102),"")</f>
        <v/>
      </c>
      <c r="Z102" s="7">
        <f>IF(AND(ISNUMBER(M102),M102&gt;0,ISNUMBER(I102)),IF(M102&lt;I102,"최저가 미달",IF(M102=I102,"최저가 동액","최저가 초과")),"")</f>
        <v/>
      </c>
      <c r="AA102" s="7">
        <f>IF(AND(T102="낙찰",ISNUMBER(M102),M102&gt;0,ISNUMBER(U102)),IF(M102&lt;U102,"실제 낙찰가 미만",IF(M102=U102,"실제 낙찰가 동액","실제 낙찰가 초과")),"")</f>
        <v/>
      </c>
      <c r="AB102" s="7">
        <f>IF(AND(ISNUMBER(M102),M102&gt;0,ISNUMBER(R102)),IF(M102&lt;R102,"상한가 미만",IF(M102=R102,"상한가 동액","상한가 초과")),"")</f>
        <v/>
      </c>
      <c r="AC102" s="2" t="n"/>
      <c r="AD102" s="7">
        <f>IF(COUNTA(A102:Q102,S102:V102,AC102)=0,"",IF(OR(A102="",B102="",C102="",NOT(ISNUMBER(G102))),"식별값 확인",IF(COUNTIFS(A$2:A$301,A102,B$2:B$301,B102,C$2:C$301,C102,G$2:G$301,G102)&gt;1,"중복 회차",IF(AND(ISNUMBER(K102),K102&gt;G102),"기일 후 예측",IF(AND(T102="낙찰",W102=""),"평가 입력 확인","")))))</f>
        <v/>
      </c>
    </row>
    <row r="103">
      <c r="A103" s="3" t="n"/>
      <c r="B103" s="3" t="n"/>
      <c r="C103" s="3" t="n"/>
      <c r="D103" s="3" t="n"/>
      <c r="E103" s="3" t="n"/>
      <c r="F103" s="3" t="n"/>
      <c r="G103" s="9" t="n"/>
      <c r="H103" s="10" t="n"/>
      <c r="I103" s="10" t="n"/>
      <c r="J103" s="3" t="n"/>
      <c r="K103" s="9" t="n"/>
      <c r="L103" s="10" t="n"/>
      <c r="M103" s="10" t="n"/>
      <c r="N103" s="3" t="n"/>
      <c r="O103" s="10" t="n"/>
      <c r="P103" s="10" t="n"/>
      <c r="Q103" s="10" t="n"/>
      <c r="R103" s="6">
        <f>IF(COUNT(O103:Q103)=3,O103-P103-Q103,"")</f>
        <v/>
      </c>
      <c r="S103" s="3" t="n"/>
      <c r="T103" s="3" t="n"/>
      <c r="U103" s="10" t="n"/>
      <c r="V103" s="3" t="n"/>
      <c r="W103" s="7">
        <f>IF(AND(A103&lt;&gt;"",B103&lt;&gt;"",C103&lt;&gt;"",ISNUMBER(G103),ISNUMBER(K103),K103&lt;=G103,K103&gt;0,T103="낙찰",ISNUMBER(L103),L103&gt;0,ISNUMBER(U103),U103&gt;0,COUNTIFS(A$2:A$301,A103,B$2:B$301,B103,C$2:C$301,C103,G$2:G$301,G103)=1),"평가 가능","")</f>
        <v/>
      </c>
      <c r="X103" s="8">
        <f>IF(W103="평가 가능",(L103-U103)/U103,"")</f>
        <v/>
      </c>
      <c r="Y103" s="8">
        <f>IF(W103="평가 가능",ABS(X103),"")</f>
        <v/>
      </c>
      <c r="Z103" s="7">
        <f>IF(AND(ISNUMBER(M103),M103&gt;0,ISNUMBER(I103)),IF(M103&lt;I103,"최저가 미달",IF(M103=I103,"최저가 동액","최저가 초과")),"")</f>
        <v/>
      </c>
      <c r="AA103" s="7">
        <f>IF(AND(T103="낙찰",ISNUMBER(M103),M103&gt;0,ISNUMBER(U103)),IF(M103&lt;U103,"실제 낙찰가 미만",IF(M103=U103,"실제 낙찰가 동액","실제 낙찰가 초과")),"")</f>
        <v/>
      </c>
      <c r="AB103" s="7">
        <f>IF(AND(ISNUMBER(M103),M103&gt;0,ISNUMBER(R103)),IF(M103&lt;R103,"상한가 미만",IF(M103=R103,"상한가 동액","상한가 초과")),"")</f>
        <v/>
      </c>
      <c r="AC103" s="3" t="n"/>
      <c r="AD103" s="7">
        <f>IF(COUNTA(A103:Q103,S103:V103,AC103)=0,"",IF(OR(A103="",B103="",C103="",NOT(ISNUMBER(G103))),"식별값 확인",IF(COUNTIFS(A$2:A$301,A103,B$2:B$301,B103,C$2:C$301,C103,G$2:G$301,G103)&gt;1,"중복 회차",IF(AND(ISNUMBER(K103),K103&gt;G103),"기일 후 예측",IF(AND(T103="낙찰",W103=""),"평가 입력 확인","")))))</f>
        <v/>
      </c>
    </row>
    <row r="104">
      <c r="A104" s="2" t="n"/>
      <c r="B104" s="2" t="n"/>
      <c r="C104" s="2" t="n"/>
      <c r="D104" s="2" t="n"/>
      <c r="E104" s="2" t="n"/>
      <c r="F104" s="2" t="n"/>
      <c r="G104" s="4" t="n"/>
      <c r="H104" s="5" t="n"/>
      <c r="I104" s="5" t="n"/>
      <c r="J104" s="2" t="n"/>
      <c r="K104" s="4" t="n"/>
      <c r="L104" s="5" t="n"/>
      <c r="M104" s="5" t="n"/>
      <c r="N104" s="2" t="n"/>
      <c r="O104" s="5" t="n"/>
      <c r="P104" s="5" t="n"/>
      <c r="Q104" s="5" t="n"/>
      <c r="R104" s="6">
        <f>IF(COUNT(O104:Q104)=3,O104-P104-Q104,"")</f>
        <v/>
      </c>
      <c r="S104" s="2" t="n"/>
      <c r="T104" s="2" t="n"/>
      <c r="U104" s="5" t="n"/>
      <c r="V104" s="2" t="n"/>
      <c r="W104" s="7">
        <f>IF(AND(A104&lt;&gt;"",B104&lt;&gt;"",C104&lt;&gt;"",ISNUMBER(G104),ISNUMBER(K104),K104&lt;=G104,K104&gt;0,T104="낙찰",ISNUMBER(L104),L104&gt;0,ISNUMBER(U104),U104&gt;0,COUNTIFS(A$2:A$301,A104,B$2:B$301,B104,C$2:C$301,C104,G$2:G$301,G104)=1),"평가 가능","")</f>
        <v/>
      </c>
      <c r="X104" s="8">
        <f>IF(W104="평가 가능",(L104-U104)/U104,"")</f>
        <v/>
      </c>
      <c r="Y104" s="8">
        <f>IF(W104="평가 가능",ABS(X104),"")</f>
        <v/>
      </c>
      <c r="Z104" s="7">
        <f>IF(AND(ISNUMBER(M104),M104&gt;0,ISNUMBER(I104)),IF(M104&lt;I104,"최저가 미달",IF(M104=I104,"최저가 동액","최저가 초과")),"")</f>
        <v/>
      </c>
      <c r="AA104" s="7">
        <f>IF(AND(T104="낙찰",ISNUMBER(M104),M104&gt;0,ISNUMBER(U104)),IF(M104&lt;U104,"실제 낙찰가 미만",IF(M104=U104,"실제 낙찰가 동액","실제 낙찰가 초과")),"")</f>
        <v/>
      </c>
      <c r="AB104" s="7">
        <f>IF(AND(ISNUMBER(M104),M104&gt;0,ISNUMBER(R104)),IF(M104&lt;R104,"상한가 미만",IF(M104=R104,"상한가 동액","상한가 초과")),"")</f>
        <v/>
      </c>
      <c r="AC104" s="2" t="n"/>
      <c r="AD104" s="7">
        <f>IF(COUNTA(A104:Q104,S104:V104,AC104)=0,"",IF(OR(A104="",B104="",C104="",NOT(ISNUMBER(G104))),"식별값 확인",IF(COUNTIFS(A$2:A$301,A104,B$2:B$301,B104,C$2:C$301,C104,G$2:G$301,G104)&gt;1,"중복 회차",IF(AND(ISNUMBER(K104),K104&gt;G104),"기일 후 예측",IF(AND(T104="낙찰",W104=""),"평가 입력 확인","")))))</f>
        <v/>
      </c>
    </row>
    <row r="105">
      <c r="A105" s="3" t="n"/>
      <c r="B105" s="3" t="n"/>
      <c r="C105" s="3" t="n"/>
      <c r="D105" s="3" t="n"/>
      <c r="E105" s="3" t="n"/>
      <c r="F105" s="3" t="n"/>
      <c r="G105" s="9" t="n"/>
      <c r="H105" s="10" t="n"/>
      <c r="I105" s="10" t="n"/>
      <c r="J105" s="3" t="n"/>
      <c r="K105" s="9" t="n"/>
      <c r="L105" s="10" t="n"/>
      <c r="M105" s="10" t="n"/>
      <c r="N105" s="3" t="n"/>
      <c r="O105" s="10" t="n"/>
      <c r="P105" s="10" t="n"/>
      <c r="Q105" s="10" t="n"/>
      <c r="R105" s="6">
        <f>IF(COUNT(O105:Q105)=3,O105-P105-Q105,"")</f>
        <v/>
      </c>
      <c r="S105" s="3" t="n"/>
      <c r="T105" s="3" t="n"/>
      <c r="U105" s="10" t="n"/>
      <c r="V105" s="3" t="n"/>
      <c r="W105" s="7">
        <f>IF(AND(A105&lt;&gt;"",B105&lt;&gt;"",C105&lt;&gt;"",ISNUMBER(G105),ISNUMBER(K105),K105&lt;=G105,K105&gt;0,T105="낙찰",ISNUMBER(L105),L105&gt;0,ISNUMBER(U105),U105&gt;0,COUNTIFS(A$2:A$301,A105,B$2:B$301,B105,C$2:C$301,C105,G$2:G$301,G105)=1),"평가 가능","")</f>
        <v/>
      </c>
      <c r="X105" s="8">
        <f>IF(W105="평가 가능",(L105-U105)/U105,"")</f>
        <v/>
      </c>
      <c r="Y105" s="8">
        <f>IF(W105="평가 가능",ABS(X105),"")</f>
        <v/>
      </c>
      <c r="Z105" s="7">
        <f>IF(AND(ISNUMBER(M105),M105&gt;0,ISNUMBER(I105)),IF(M105&lt;I105,"최저가 미달",IF(M105=I105,"최저가 동액","최저가 초과")),"")</f>
        <v/>
      </c>
      <c r="AA105" s="7">
        <f>IF(AND(T105="낙찰",ISNUMBER(M105),M105&gt;0,ISNUMBER(U105)),IF(M105&lt;U105,"실제 낙찰가 미만",IF(M105=U105,"실제 낙찰가 동액","실제 낙찰가 초과")),"")</f>
        <v/>
      </c>
      <c r="AB105" s="7">
        <f>IF(AND(ISNUMBER(M105),M105&gt;0,ISNUMBER(R105)),IF(M105&lt;R105,"상한가 미만",IF(M105=R105,"상한가 동액","상한가 초과")),"")</f>
        <v/>
      </c>
      <c r="AC105" s="3" t="n"/>
      <c r="AD105" s="7">
        <f>IF(COUNTA(A105:Q105,S105:V105,AC105)=0,"",IF(OR(A105="",B105="",C105="",NOT(ISNUMBER(G105))),"식별값 확인",IF(COUNTIFS(A$2:A$301,A105,B$2:B$301,B105,C$2:C$301,C105,G$2:G$301,G105)&gt;1,"중복 회차",IF(AND(ISNUMBER(K105),K105&gt;G105),"기일 후 예측",IF(AND(T105="낙찰",W105=""),"평가 입력 확인","")))))</f>
        <v/>
      </c>
    </row>
    <row r="106">
      <c r="A106" s="2" t="n"/>
      <c r="B106" s="2" t="n"/>
      <c r="C106" s="2" t="n"/>
      <c r="D106" s="2" t="n"/>
      <c r="E106" s="2" t="n"/>
      <c r="F106" s="2" t="n"/>
      <c r="G106" s="4" t="n"/>
      <c r="H106" s="5" t="n"/>
      <c r="I106" s="5" t="n"/>
      <c r="J106" s="2" t="n"/>
      <c r="K106" s="4" t="n"/>
      <c r="L106" s="5" t="n"/>
      <c r="M106" s="5" t="n"/>
      <c r="N106" s="2" t="n"/>
      <c r="O106" s="5" t="n"/>
      <c r="P106" s="5" t="n"/>
      <c r="Q106" s="5" t="n"/>
      <c r="R106" s="6">
        <f>IF(COUNT(O106:Q106)=3,O106-P106-Q106,"")</f>
        <v/>
      </c>
      <c r="S106" s="2" t="n"/>
      <c r="T106" s="2" t="n"/>
      <c r="U106" s="5" t="n"/>
      <c r="V106" s="2" t="n"/>
      <c r="W106" s="7">
        <f>IF(AND(A106&lt;&gt;"",B106&lt;&gt;"",C106&lt;&gt;"",ISNUMBER(G106),ISNUMBER(K106),K106&lt;=G106,K106&gt;0,T106="낙찰",ISNUMBER(L106),L106&gt;0,ISNUMBER(U106),U106&gt;0,COUNTIFS(A$2:A$301,A106,B$2:B$301,B106,C$2:C$301,C106,G$2:G$301,G106)=1),"평가 가능","")</f>
        <v/>
      </c>
      <c r="X106" s="8">
        <f>IF(W106="평가 가능",(L106-U106)/U106,"")</f>
        <v/>
      </c>
      <c r="Y106" s="8">
        <f>IF(W106="평가 가능",ABS(X106),"")</f>
        <v/>
      </c>
      <c r="Z106" s="7">
        <f>IF(AND(ISNUMBER(M106),M106&gt;0,ISNUMBER(I106)),IF(M106&lt;I106,"최저가 미달",IF(M106=I106,"최저가 동액","최저가 초과")),"")</f>
        <v/>
      </c>
      <c r="AA106" s="7">
        <f>IF(AND(T106="낙찰",ISNUMBER(M106),M106&gt;0,ISNUMBER(U106)),IF(M106&lt;U106,"실제 낙찰가 미만",IF(M106=U106,"실제 낙찰가 동액","실제 낙찰가 초과")),"")</f>
        <v/>
      </c>
      <c r="AB106" s="7">
        <f>IF(AND(ISNUMBER(M106),M106&gt;0,ISNUMBER(R106)),IF(M106&lt;R106,"상한가 미만",IF(M106=R106,"상한가 동액","상한가 초과")),"")</f>
        <v/>
      </c>
      <c r="AC106" s="2" t="n"/>
      <c r="AD106" s="7">
        <f>IF(COUNTA(A106:Q106,S106:V106,AC106)=0,"",IF(OR(A106="",B106="",C106="",NOT(ISNUMBER(G106))),"식별값 확인",IF(COUNTIFS(A$2:A$301,A106,B$2:B$301,B106,C$2:C$301,C106,G$2:G$301,G106)&gt;1,"중복 회차",IF(AND(ISNUMBER(K106),K106&gt;G106),"기일 후 예측",IF(AND(T106="낙찰",W106=""),"평가 입력 확인","")))))</f>
        <v/>
      </c>
    </row>
    <row r="107">
      <c r="A107" s="3" t="n"/>
      <c r="B107" s="3" t="n"/>
      <c r="C107" s="3" t="n"/>
      <c r="D107" s="3" t="n"/>
      <c r="E107" s="3" t="n"/>
      <c r="F107" s="3" t="n"/>
      <c r="G107" s="9" t="n"/>
      <c r="H107" s="10" t="n"/>
      <c r="I107" s="10" t="n"/>
      <c r="J107" s="3" t="n"/>
      <c r="K107" s="9" t="n"/>
      <c r="L107" s="10" t="n"/>
      <c r="M107" s="10" t="n"/>
      <c r="N107" s="3" t="n"/>
      <c r="O107" s="10" t="n"/>
      <c r="P107" s="10" t="n"/>
      <c r="Q107" s="10" t="n"/>
      <c r="R107" s="6">
        <f>IF(COUNT(O107:Q107)=3,O107-P107-Q107,"")</f>
        <v/>
      </c>
      <c r="S107" s="3" t="n"/>
      <c r="T107" s="3" t="n"/>
      <c r="U107" s="10" t="n"/>
      <c r="V107" s="3" t="n"/>
      <c r="W107" s="7">
        <f>IF(AND(A107&lt;&gt;"",B107&lt;&gt;"",C107&lt;&gt;"",ISNUMBER(G107),ISNUMBER(K107),K107&lt;=G107,K107&gt;0,T107="낙찰",ISNUMBER(L107),L107&gt;0,ISNUMBER(U107),U107&gt;0,COUNTIFS(A$2:A$301,A107,B$2:B$301,B107,C$2:C$301,C107,G$2:G$301,G107)=1),"평가 가능","")</f>
        <v/>
      </c>
      <c r="X107" s="8">
        <f>IF(W107="평가 가능",(L107-U107)/U107,"")</f>
        <v/>
      </c>
      <c r="Y107" s="8">
        <f>IF(W107="평가 가능",ABS(X107),"")</f>
        <v/>
      </c>
      <c r="Z107" s="7">
        <f>IF(AND(ISNUMBER(M107),M107&gt;0,ISNUMBER(I107)),IF(M107&lt;I107,"최저가 미달",IF(M107=I107,"최저가 동액","최저가 초과")),"")</f>
        <v/>
      </c>
      <c r="AA107" s="7">
        <f>IF(AND(T107="낙찰",ISNUMBER(M107),M107&gt;0,ISNUMBER(U107)),IF(M107&lt;U107,"실제 낙찰가 미만",IF(M107=U107,"실제 낙찰가 동액","실제 낙찰가 초과")),"")</f>
        <v/>
      </c>
      <c r="AB107" s="7">
        <f>IF(AND(ISNUMBER(M107),M107&gt;0,ISNUMBER(R107)),IF(M107&lt;R107,"상한가 미만",IF(M107=R107,"상한가 동액","상한가 초과")),"")</f>
        <v/>
      </c>
      <c r="AC107" s="3" t="n"/>
      <c r="AD107" s="7">
        <f>IF(COUNTA(A107:Q107,S107:V107,AC107)=0,"",IF(OR(A107="",B107="",C107="",NOT(ISNUMBER(G107))),"식별값 확인",IF(COUNTIFS(A$2:A$301,A107,B$2:B$301,B107,C$2:C$301,C107,G$2:G$301,G107)&gt;1,"중복 회차",IF(AND(ISNUMBER(K107),K107&gt;G107),"기일 후 예측",IF(AND(T107="낙찰",W107=""),"평가 입력 확인","")))))</f>
        <v/>
      </c>
    </row>
    <row r="108">
      <c r="A108" s="2" t="n"/>
      <c r="B108" s="2" t="n"/>
      <c r="C108" s="2" t="n"/>
      <c r="D108" s="2" t="n"/>
      <c r="E108" s="2" t="n"/>
      <c r="F108" s="2" t="n"/>
      <c r="G108" s="4" t="n"/>
      <c r="H108" s="5" t="n"/>
      <c r="I108" s="5" t="n"/>
      <c r="J108" s="2" t="n"/>
      <c r="K108" s="4" t="n"/>
      <c r="L108" s="5" t="n"/>
      <c r="M108" s="5" t="n"/>
      <c r="N108" s="2" t="n"/>
      <c r="O108" s="5" t="n"/>
      <c r="P108" s="5" t="n"/>
      <c r="Q108" s="5" t="n"/>
      <c r="R108" s="6">
        <f>IF(COUNT(O108:Q108)=3,O108-P108-Q108,"")</f>
        <v/>
      </c>
      <c r="S108" s="2" t="n"/>
      <c r="T108" s="2" t="n"/>
      <c r="U108" s="5" t="n"/>
      <c r="V108" s="2" t="n"/>
      <c r="W108" s="7">
        <f>IF(AND(A108&lt;&gt;"",B108&lt;&gt;"",C108&lt;&gt;"",ISNUMBER(G108),ISNUMBER(K108),K108&lt;=G108,K108&gt;0,T108="낙찰",ISNUMBER(L108),L108&gt;0,ISNUMBER(U108),U108&gt;0,COUNTIFS(A$2:A$301,A108,B$2:B$301,B108,C$2:C$301,C108,G$2:G$301,G108)=1),"평가 가능","")</f>
        <v/>
      </c>
      <c r="X108" s="8">
        <f>IF(W108="평가 가능",(L108-U108)/U108,"")</f>
        <v/>
      </c>
      <c r="Y108" s="8">
        <f>IF(W108="평가 가능",ABS(X108),"")</f>
        <v/>
      </c>
      <c r="Z108" s="7">
        <f>IF(AND(ISNUMBER(M108),M108&gt;0,ISNUMBER(I108)),IF(M108&lt;I108,"최저가 미달",IF(M108=I108,"최저가 동액","최저가 초과")),"")</f>
        <v/>
      </c>
      <c r="AA108" s="7">
        <f>IF(AND(T108="낙찰",ISNUMBER(M108),M108&gt;0,ISNUMBER(U108)),IF(M108&lt;U108,"실제 낙찰가 미만",IF(M108=U108,"실제 낙찰가 동액","실제 낙찰가 초과")),"")</f>
        <v/>
      </c>
      <c r="AB108" s="7">
        <f>IF(AND(ISNUMBER(M108),M108&gt;0,ISNUMBER(R108)),IF(M108&lt;R108,"상한가 미만",IF(M108=R108,"상한가 동액","상한가 초과")),"")</f>
        <v/>
      </c>
      <c r="AC108" s="2" t="n"/>
      <c r="AD108" s="7">
        <f>IF(COUNTA(A108:Q108,S108:V108,AC108)=0,"",IF(OR(A108="",B108="",C108="",NOT(ISNUMBER(G108))),"식별값 확인",IF(COUNTIFS(A$2:A$301,A108,B$2:B$301,B108,C$2:C$301,C108,G$2:G$301,G108)&gt;1,"중복 회차",IF(AND(ISNUMBER(K108),K108&gt;G108),"기일 후 예측",IF(AND(T108="낙찰",W108=""),"평가 입력 확인","")))))</f>
        <v/>
      </c>
    </row>
    <row r="109">
      <c r="A109" s="3" t="n"/>
      <c r="B109" s="3" t="n"/>
      <c r="C109" s="3" t="n"/>
      <c r="D109" s="3" t="n"/>
      <c r="E109" s="3" t="n"/>
      <c r="F109" s="3" t="n"/>
      <c r="G109" s="9" t="n"/>
      <c r="H109" s="10" t="n"/>
      <c r="I109" s="10" t="n"/>
      <c r="J109" s="3" t="n"/>
      <c r="K109" s="9" t="n"/>
      <c r="L109" s="10" t="n"/>
      <c r="M109" s="10" t="n"/>
      <c r="N109" s="3" t="n"/>
      <c r="O109" s="10" t="n"/>
      <c r="P109" s="10" t="n"/>
      <c r="Q109" s="10" t="n"/>
      <c r="R109" s="6">
        <f>IF(COUNT(O109:Q109)=3,O109-P109-Q109,"")</f>
        <v/>
      </c>
      <c r="S109" s="3" t="n"/>
      <c r="T109" s="3" t="n"/>
      <c r="U109" s="10" t="n"/>
      <c r="V109" s="3" t="n"/>
      <c r="W109" s="7">
        <f>IF(AND(A109&lt;&gt;"",B109&lt;&gt;"",C109&lt;&gt;"",ISNUMBER(G109),ISNUMBER(K109),K109&lt;=G109,K109&gt;0,T109="낙찰",ISNUMBER(L109),L109&gt;0,ISNUMBER(U109),U109&gt;0,COUNTIFS(A$2:A$301,A109,B$2:B$301,B109,C$2:C$301,C109,G$2:G$301,G109)=1),"평가 가능","")</f>
        <v/>
      </c>
      <c r="X109" s="8">
        <f>IF(W109="평가 가능",(L109-U109)/U109,"")</f>
        <v/>
      </c>
      <c r="Y109" s="8">
        <f>IF(W109="평가 가능",ABS(X109),"")</f>
        <v/>
      </c>
      <c r="Z109" s="7">
        <f>IF(AND(ISNUMBER(M109),M109&gt;0,ISNUMBER(I109)),IF(M109&lt;I109,"최저가 미달",IF(M109=I109,"최저가 동액","최저가 초과")),"")</f>
        <v/>
      </c>
      <c r="AA109" s="7">
        <f>IF(AND(T109="낙찰",ISNUMBER(M109),M109&gt;0,ISNUMBER(U109)),IF(M109&lt;U109,"실제 낙찰가 미만",IF(M109=U109,"실제 낙찰가 동액","실제 낙찰가 초과")),"")</f>
        <v/>
      </c>
      <c r="AB109" s="7">
        <f>IF(AND(ISNUMBER(M109),M109&gt;0,ISNUMBER(R109)),IF(M109&lt;R109,"상한가 미만",IF(M109=R109,"상한가 동액","상한가 초과")),"")</f>
        <v/>
      </c>
      <c r="AC109" s="3" t="n"/>
      <c r="AD109" s="7">
        <f>IF(COUNTA(A109:Q109,S109:V109,AC109)=0,"",IF(OR(A109="",B109="",C109="",NOT(ISNUMBER(G109))),"식별값 확인",IF(COUNTIFS(A$2:A$301,A109,B$2:B$301,B109,C$2:C$301,C109,G$2:G$301,G109)&gt;1,"중복 회차",IF(AND(ISNUMBER(K109),K109&gt;G109),"기일 후 예측",IF(AND(T109="낙찰",W109=""),"평가 입력 확인","")))))</f>
        <v/>
      </c>
    </row>
    <row r="110">
      <c r="A110" s="2" t="n"/>
      <c r="B110" s="2" t="n"/>
      <c r="C110" s="2" t="n"/>
      <c r="D110" s="2" t="n"/>
      <c r="E110" s="2" t="n"/>
      <c r="F110" s="2" t="n"/>
      <c r="G110" s="4" t="n"/>
      <c r="H110" s="5" t="n"/>
      <c r="I110" s="5" t="n"/>
      <c r="J110" s="2" t="n"/>
      <c r="K110" s="4" t="n"/>
      <c r="L110" s="5" t="n"/>
      <c r="M110" s="5" t="n"/>
      <c r="N110" s="2" t="n"/>
      <c r="O110" s="5" t="n"/>
      <c r="P110" s="5" t="n"/>
      <c r="Q110" s="5" t="n"/>
      <c r="R110" s="6">
        <f>IF(COUNT(O110:Q110)=3,O110-P110-Q110,"")</f>
        <v/>
      </c>
      <c r="S110" s="2" t="n"/>
      <c r="T110" s="2" t="n"/>
      <c r="U110" s="5" t="n"/>
      <c r="V110" s="2" t="n"/>
      <c r="W110" s="7">
        <f>IF(AND(A110&lt;&gt;"",B110&lt;&gt;"",C110&lt;&gt;"",ISNUMBER(G110),ISNUMBER(K110),K110&lt;=G110,K110&gt;0,T110="낙찰",ISNUMBER(L110),L110&gt;0,ISNUMBER(U110),U110&gt;0,COUNTIFS(A$2:A$301,A110,B$2:B$301,B110,C$2:C$301,C110,G$2:G$301,G110)=1),"평가 가능","")</f>
        <v/>
      </c>
      <c r="X110" s="8">
        <f>IF(W110="평가 가능",(L110-U110)/U110,"")</f>
        <v/>
      </c>
      <c r="Y110" s="8">
        <f>IF(W110="평가 가능",ABS(X110),"")</f>
        <v/>
      </c>
      <c r="Z110" s="7">
        <f>IF(AND(ISNUMBER(M110),M110&gt;0,ISNUMBER(I110)),IF(M110&lt;I110,"최저가 미달",IF(M110=I110,"최저가 동액","최저가 초과")),"")</f>
        <v/>
      </c>
      <c r="AA110" s="7">
        <f>IF(AND(T110="낙찰",ISNUMBER(M110),M110&gt;0,ISNUMBER(U110)),IF(M110&lt;U110,"실제 낙찰가 미만",IF(M110=U110,"실제 낙찰가 동액","실제 낙찰가 초과")),"")</f>
        <v/>
      </c>
      <c r="AB110" s="7">
        <f>IF(AND(ISNUMBER(M110),M110&gt;0,ISNUMBER(R110)),IF(M110&lt;R110,"상한가 미만",IF(M110=R110,"상한가 동액","상한가 초과")),"")</f>
        <v/>
      </c>
      <c r="AC110" s="2" t="n"/>
      <c r="AD110" s="7">
        <f>IF(COUNTA(A110:Q110,S110:V110,AC110)=0,"",IF(OR(A110="",B110="",C110="",NOT(ISNUMBER(G110))),"식별값 확인",IF(COUNTIFS(A$2:A$301,A110,B$2:B$301,B110,C$2:C$301,C110,G$2:G$301,G110)&gt;1,"중복 회차",IF(AND(ISNUMBER(K110),K110&gt;G110),"기일 후 예측",IF(AND(T110="낙찰",W110=""),"평가 입력 확인","")))))</f>
        <v/>
      </c>
    </row>
    <row r="111">
      <c r="A111" s="3" t="n"/>
      <c r="B111" s="3" t="n"/>
      <c r="C111" s="3" t="n"/>
      <c r="D111" s="3" t="n"/>
      <c r="E111" s="3" t="n"/>
      <c r="F111" s="3" t="n"/>
      <c r="G111" s="9" t="n"/>
      <c r="H111" s="10" t="n"/>
      <c r="I111" s="10" t="n"/>
      <c r="J111" s="3" t="n"/>
      <c r="K111" s="9" t="n"/>
      <c r="L111" s="10" t="n"/>
      <c r="M111" s="10" t="n"/>
      <c r="N111" s="3" t="n"/>
      <c r="O111" s="10" t="n"/>
      <c r="P111" s="10" t="n"/>
      <c r="Q111" s="10" t="n"/>
      <c r="R111" s="6">
        <f>IF(COUNT(O111:Q111)=3,O111-P111-Q111,"")</f>
        <v/>
      </c>
      <c r="S111" s="3" t="n"/>
      <c r="T111" s="3" t="n"/>
      <c r="U111" s="10" t="n"/>
      <c r="V111" s="3" t="n"/>
      <c r="W111" s="7">
        <f>IF(AND(A111&lt;&gt;"",B111&lt;&gt;"",C111&lt;&gt;"",ISNUMBER(G111),ISNUMBER(K111),K111&lt;=G111,K111&gt;0,T111="낙찰",ISNUMBER(L111),L111&gt;0,ISNUMBER(U111),U111&gt;0,COUNTIFS(A$2:A$301,A111,B$2:B$301,B111,C$2:C$301,C111,G$2:G$301,G111)=1),"평가 가능","")</f>
        <v/>
      </c>
      <c r="X111" s="8">
        <f>IF(W111="평가 가능",(L111-U111)/U111,"")</f>
        <v/>
      </c>
      <c r="Y111" s="8">
        <f>IF(W111="평가 가능",ABS(X111),"")</f>
        <v/>
      </c>
      <c r="Z111" s="7">
        <f>IF(AND(ISNUMBER(M111),M111&gt;0,ISNUMBER(I111)),IF(M111&lt;I111,"최저가 미달",IF(M111=I111,"최저가 동액","최저가 초과")),"")</f>
        <v/>
      </c>
      <c r="AA111" s="7">
        <f>IF(AND(T111="낙찰",ISNUMBER(M111),M111&gt;0,ISNUMBER(U111)),IF(M111&lt;U111,"실제 낙찰가 미만",IF(M111=U111,"실제 낙찰가 동액","실제 낙찰가 초과")),"")</f>
        <v/>
      </c>
      <c r="AB111" s="7">
        <f>IF(AND(ISNUMBER(M111),M111&gt;0,ISNUMBER(R111)),IF(M111&lt;R111,"상한가 미만",IF(M111=R111,"상한가 동액","상한가 초과")),"")</f>
        <v/>
      </c>
      <c r="AC111" s="3" t="n"/>
      <c r="AD111" s="7">
        <f>IF(COUNTA(A111:Q111,S111:V111,AC111)=0,"",IF(OR(A111="",B111="",C111="",NOT(ISNUMBER(G111))),"식별값 확인",IF(COUNTIFS(A$2:A$301,A111,B$2:B$301,B111,C$2:C$301,C111,G$2:G$301,G111)&gt;1,"중복 회차",IF(AND(ISNUMBER(K111),K111&gt;G111),"기일 후 예측",IF(AND(T111="낙찰",W111=""),"평가 입력 확인","")))))</f>
        <v/>
      </c>
    </row>
    <row r="112">
      <c r="A112" s="2" t="n"/>
      <c r="B112" s="2" t="n"/>
      <c r="C112" s="2" t="n"/>
      <c r="D112" s="2" t="n"/>
      <c r="E112" s="2" t="n"/>
      <c r="F112" s="2" t="n"/>
      <c r="G112" s="4" t="n"/>
      <c r="H112" s="5" t="n"/>
      <c r="I112" s="5" t="n"/>
      <c r="J112" s="2" t="n"/>
      <c r="K112" s="4" t="n"/>
      <c r="L112" s="5" t="n"/>
      <c r="M112" s="5" t="n"/>
      <c r="N112" s="2" t="n"/>
      <c r="O112" s="5" t="n"/>
      <c r="P112" s="5" t="n"/>
      <c r="Q112" s="5" t="n"/>
      <c r="R112" s="6">
        <f>IF(COUNT(O112:Q112)=3,O112-P112-Q112,"")</f>
        <v/>
      </c>
      <c r="S112" s="2" t="n"/>
      <c r="T112" s="2" t="n"/>
      <c r="U112" s="5" t="n"/>
      <c r="V112" s="2" t="n"/>
      <c r="W112" s="7">
        <f>IF(AND(A112&lt;&gt;"",B112&lt;&gt;"",C112&lt;&gt;"",ISNUMBER(G112),ISNUMBER(K112),K112&lt;=G112,K112&gt;0,T112="낙찰",ISNUMBER(L112),L112&gt;0,ISNUMBER(U112),U112&gt;0,COUNTIFS(A$2:A$301,A112,B$2:B$301,B112,C$2:C$301,C112,G$2:G$301,G112)=1),"평가 가능","")</f>
        <v/>
      </c>
      <c r="X112" s="8">
        <f>IF(W112="평가 가능",(L112-U112)/U112,"")</f>
        <v/>
      </c>
      <c r="Y112" s="8">
        <f>IF(W112="평가 가능",ABS(X112),"")</f>
        <v/>
      </c>
      <c r="Z112" s="7">
        <f>IF(AND(ISNUMBER(M112),M112&gt;0,ISNUMBER(I112)),IF(M112&lt;I112,"최저가 미달",IF(M112=I112,"최저가 동액","최저가 초과")),"")</f>
        <v/>
      </c>
      <c r="AA112" s="7">
        <f>IF(AND(T112="낙찰",ISNUMBER(M112),M112&gt;0,ISNUMBER(U112)),IF(M112&lt;U112,"실제 낙찰가 미만",IF(M112=U112,"실제 낙찰가 동액","실제 낙찰가 초과")),"")</f>
        <v/>
      </c>
      <c r="AB112" s="7">
        <f>IF(AND(ISNUMBER(M112),M112&gt;0,ISNUMBER(R112)),IF(M112&lt;R112,"상한가 미만",IF(M112=R112,"상한가 동액","상한가 초과")),"")</f>
        <v/>
      </c>
      <c r="AC112" s="2" t="n"/>
      <c r="AD112" s="7">
        <f>IF(COUNTA(A112:Q112,S112:V112,AC112)=0,"",IF(OR(A112="",B112="",C112="",NOT(ISNUMBER(G112))),"식별값 확인",IF(COUNTIFS(A$2:A$301,A112,B$2:B$301,B112,C$2:C$301,C112,G$2:G$301,G112)&gt;1,"중복 회차",IF(AND(ISNUMBER(K112),K112&gt;G112),"기일 후 예측",IF(AND(T112="낙찰",W112=""),"평가 입력 확인","")))))</f>
        <v/>
      </c>
    </row>
    <row r="113">
      <c r="A113" s="3" t="n"/>
      <c r="B113" s="3" t="n"/>
      <c r="C113" s="3" t="n"/>
      <c r="D113" s="3" t="n"/>
      <c r="E113" s="3" t="n"/>
      <c r="F113" s="3" t="n"/>
      <c r="G113" s="9" t="n"/>
      <c r="H113" s="10" t="n"/>
      <c r="I113" s="10" t="n"/>
      <c r="J113" s="3" t="n"/>
      <c r="K113" s="9" t="n"/>
      <c r="L113" s="10" t="n"/>
      <c r="M113" s="10" t="n"/>
      <c r="N113" s="3" t="n"/>
      <c r="O113" s="10" t="n"/>
      <c r="P113" s="10" t="n"/>
      <c r="Q113" s="10" t="n"/>
      <c r="R113" s="6">
        <f>IF(COUNT(O113:Q113)=3,O113-P113-Q113,"")</f>
        <v/>
      </c>
      <c r="S113" s="3" t="n"/>
      <c r="T113" s="3" t="n"/>
      <c r="U113" s="10" t="n"/>
      <c r="V113" s="3" t="n"/>
      <c r="W113" s="7">
        <f>IF(AND(A113&lt;&gt;"",B113&lt;&gt;"",C113&lt;&gt;"",ISNUMBER(G113),ISNUMBER(K113),K113&lt;=G113,K113&gt;0,T113="낙찰",ISNUMBER(L113),L113&gt;0,ISNUMBER(U113),U113&gt;0,COUNTIFS(A$2:A$301,A113,B$2:B$301,B113,C$2:C$301,C113,G$2:G$301,G113)=1),"평가 가능","")</f>
        <v/>
      </c>
      <c r="X113" s="8">
        <f>IF(W113="평가 가능",(L113-U113)/U113,"")</f>
        <v/>
      </c>
      <c r="Y113" s="8">
        <f>IF(W113="평가 가능",ABS(X113),"")</f>
        <v/>
      </c>
      <c r="Z113" s="7">
        <f>IF(AND(ISNUMBER(M113),M113&gt;0,ISNUMBER(I113)),IF(M113&lt;I113,"최저가 미달",IF(M113=I113,"최저가 동액","최저가 초과")),"")</f>
        <v/>
      </c>
      <c r="AA113" s="7">
        <f>IF(AND(T113="낙찰",ISNUMBER(M113),M113&gt;0,ISNUMBER(U113)),IF(M113&lt;U113,"실제 낙찰가 미만",IF(M113=U113,"실제 낙찰가 동액","실제 낙찰가 초과")),"")</f>
        <v/>
      </c>
      <c r="AB113" s="7">
        <f>IF(AND(ISNUMBER(M113),M113&gt;0,ISNUMBER(R113)),IF(M113&lt;R113,"상한가 미만",IF(M113=R113,"상한가 동액","상한가 초과")),"")</f>
        <v/>
      </c>
      <c r="AC113" s="3" t="n"/>
      <c r="AD113" s="7">
        <f>IF(COUNTA(A113:Q113,S113:V113,AC113)=0,"",IF(OR(A113="",B113="",C113="",NOT(ISNUMBER(G113))),"식별값 확인",IF(COUNTIFS(A$2:A$301,A113,B$2:B$301,B113,C$2:C$301,C113,G$2:G$301,G113)&gt;1,"중복 회차",IF(AND(ISNUMBER(K113),K113&gt;G113),"기일 후 예측",IF(AND(T113="낙찰",W113=""),"평가 입력 확인","")))))</f>
        <v/>
      </c>
    </row>
    <row r="114">
      <c r="A114" s="2" t="n"/>
      <c r="B114" s="2" t="n"/>
      <c r="C114" s="2" t="n"/>
      <c r="D114" s="2" t="n"/>
      <c r="E114" s="2" t="n"/>
      <c r="F114" s="2" t="n"/>
      <c r="G114" s="4" t="n"/>
      <c r="H114" s="5" t="n"/>
      <c r="I114" s="5" t="n"/>
      <c r="J114" s="2" t="n"/>
      <c r="K114" s="4" t="n"/>
      <c r="L114" s="5" t="n"/>
      <c r="M114" s="5" t="n"/>
      <c r="N114" s="2" t="n"/>
      <c r="O114" s="5" t="n"/>
      <c r="P114" s="5" t="n"/>
      <c r="Q114" s="5" t="n"/>
      <c r="R114" s="6">
        <f>IF(COUNT(O114:Q114)=3,O114-P114-Q114,"")</f>
        <v/>
      </c>
      <c r="S114" s="2" t="n"/>
      <c r="T114" s="2" t="n"/>
      <c r="U114" s="5" t="n"/>
      <c r="V114" s="2" t="n"/>
      <c r="W114" s="7">
        <f>IF(AND(A114&lt;&gt;"",B114&lt;&gt;"",C114&lt;&gt;"",ISNUMBER(G114),ISNUMBER(K114),K114&lt;=G114,K114&gt;0,T114="낙찰",ISNUMBER(L114),L114&gt;0,ISNUMBER(U114),U114&gt;0,COUNTIFS(A$2:A$301,A114,B$2:B$301,B114,C$2:C$301,C114,G$2:G$301,G114)=1),"평가 가능","")</f>
        <v/>
      </c>
      <c r="X114" s="8">
        <f>IF(W114="평가 가능",(L114-U114)/U114,"")</f>
        <v/>
      </c>
      <c r="Y114" s="8">
        <f>IF(W114="평가 가능",ABS(X114),"")</f>
        <v/>
      </c>
      <c r="Z114" s="7">
        <f>IF(AND(ISNUMBER(M114),M114&gt;0,ISNUMBER(I114)),IF(M114&lt;I114,"최저가 미달",IF(M114=I114,"최저가 동액","최저가 초과")),"")</f>
        <v/>
      </c>
      <c r="AA114" s="7">
        <f>IF(AND(T114="낙찰",ISNUMBER(M114),M114&gt;0,ISNUMBER(U114)),IF(M114&lt;U114,"실제 낙찰가 미만",IF(M114=U114,"실제 낙찰가 동액","실제 낙찰가 초과")),"")</f>
        <v/>
      </c>
      <c r="AB114" s="7">
        <f>IF(AND(ISNUMBER(M114),M114&gt;0,ISNUMBER(R114)),IF(M114&lt;R114,"상한가 미만",IF(M114=R114,"상한가 동액","상한가 초과")),"")</f>
        <v/>
      </c>
      <c r="AC114" s="2" t="n"/>
      <c r="AD114" s="7">
        <f>IF(COUNTA(A114:Q114,S114:V114,AC114)=0,"",IF(OR(A114="",B114="",C114="",NOT(ISNUMBER(G114))),"식별값 확인",IF(COUNTIFS(A$2:A$301,A114,B$2:B$301,B114,C$2:C$301,C114,G$2:G$301,G114)&gt;1,"중복 회차",IF(AND(ISNUMBER(K114),K114&gt;G114),"기일 후 예측",IF(AND(T114="낙찰",W114=""),"평가 입력 확인","")))))</f>
        <v/>
      </c>
    </row>
    <row r="115">
      <c r="A115" s="3" t="n"/>
      <c r="B115" s="3" t="n"/>
      <c r="C115" s="3" t="n"/>
      <c r="D115" s="3" t="n"/>
      <c r="E115" s="3" t="n"/>
      <c r="F115" s="3" t="n"/>
      <c r="G115" s="9" t="n"/>
      <c r="H115" s="10" t="n"/>
      <c r="I115" s="10" t="n"/>
      <c r="J115" s="3" t="n"/>
      <c r="K115" s="9" t="n"/>
      <c r="L115" s="10" t="n"/>
      <c r="M115" s="10" t="n"/>
      <c r="N115" s="3" t="n"/>
      <c r="O115" s="10" t="n"/>
      <c r="P115" s="10" t="n"/>
      <c r="Q115" s="10" t="n"/>
      <c r="R115" s="6">
        <f>IF(COUNT(O115:Q115)=3,O115-P115-Q115,"")</f>
        <v/>
      </c>
      <c r="S115" s="3" t="n"/>
      <c r="T115" s="3" t="n"/>
      <c r="U115" s="10" t="n"/>
      <c r="V115" s="3" t="n"/>
      <c r="W115" s="7">
        <f>IF(AND(A115&lt;&gt;"",B115&lt;&gt;"",C115&lt;&gt;"",ISNUMBER(G115),ISNUMBER(K115),K115&lt;=G115,K115&gt;0,T115="낙찰",ISNUMBER(L115),L115&gt;0,ISNUMBER(U115),U115&gt;0,COUNTIFS(A$2:A$301,A115,B$2:B$301,B115,C$2:C$301,C115,G$2:G$301,G115)=1),"평가 가능","")</f>
        <v/>
      </c>
      <c r="X115" s="8">
        <f>IF(W115="평가 가능",(L115-U115)/U115,"")</f>
        <v/>
      </c>
      <c r="Y115" s="8">
        <f>IF(W115="평가 가능",ABS(X115),"")</f>
        <v/>
      </c>
      <c r="Z115" s="7">
        <f>IF(AND(ISNUMBER(M115),M115&gt;0,ISNUMBER(I115)),IF(M115&lt;I115,"최저가 미달",IF(M115=I115,"최저가 동액","최저가 초과")),"")</f>
        <v/>
      </c>
      <c r="AA115" s="7">
        <f>IF(AND(T115="낙찰",ISNUMBER(M115),M115&gt;0,ISNUMBER(U115)),IF(M115&lt;U115,"실제 낙찰가 미만",IF(M115=U115,"실제 낙찰가 동액","실제 낙찰가 초과")),"")</f>
        <v/>
      </c>
      <c r="AB115" s="7">
        <f>IF(AND(ISNUMBER(M115),M115&gt;0,ISNUMBER(R115)),IF(M115&lt;R115,"상한가 미만",IF(M115=R115,"상한가 동액","상한가 초과")),"")</f>
        <v/>
      </c>
      <c r="AC115" s="3" t="n"/>
      <c r="AD115" s="7">
        <f>IF(COUNTA(A115:Q115,S115:V115,AC115)=0,"",IF(OR(A115="",B115="",C115="",NOT(ISNUMBER(G115))),"식별값 확인",IF(COUNTIFS(A$2:A$301,A115,B$2:B$301,B115,C$2:C$301,C115,G$2:G$301,G115)&gt;1,"중복 회차",IF(AND(ISNUMBER(K115),K115&gt;G115),"기일 후 예측",IF(AND(T115="낙찰",W115=""),"평가 입력 확인","")))))</f>
        <v/>
      </c>
    </row>
    <row r="116">
      <c r="A116" s="2" t="n"/>
      <c r="B116" s="2" t="n"/>
      <c r="C116" s="2" t="n"/>
      <c r="D116" s="2" t="n"/>
      <c r="E116" s="2" t="n"/>
      <c r="F116" s="2" t="n"/>
      <c r="G116" s="4" t="n"/>
      <c r="H116" s="5" t="n"/>
      <c r="I116" s="5" t="n"/>
      <c r="J116" s="2" t="n"/>
      <c r="K116" s="4" t="n"/>
      <c r="L116" s="5" t="n"/>
      <c r="M116" s="5" t="n"/>
      <c r="N116" s="2" t="n"/>
      <c r="O116" s="5" t="n"/>
      <c r="P116" s="5" t="n"/>
      <c r="Q116" s="5" t="n"/>
      <c r="R116" s="6">
        <f>IF(COUNT(O116:Q116)=3,O116-P116-Q116,"")</f>
        <v/>
      </c>
      <c r="S116" s="2" t="n"/>
      <c r="T116" s="2" t="n"/>
      <c r="U116" s="5" t="n"/>
      <c r="V116" s="2" t="n"/>
      <c r="W116" s="7">
        <f>IF(AND(A116&lt;&gt;"",B116&lt;&gt;"",C116&lt;&gt;"",ISNUMBER(G116),ISNUMBER(K116),K116&lt;=G116,K116&gt;0,T116="낙찰",ISNUMBER(L116),L116&gt;0,ISNUMBER(U116),U116&gt;0,COUNTIFS(A$2:A$301,A116,B$2:B$301,B116,C$2:C$301,C116,G$2:G$301,G116)=1),"평가 가능","")</f>
        <v/>
      </c>
      <c r="X116" s="8">
        <f>IF(W116="평가 가능",(L116-U116)/U116,"")</f>
        <v/>
      </c>
      <c r="Y116" s="8">
        <f>IF(W116="평가 가능",ABS(X116),"")</f>
        <v/>
      </c>
      <c r="Z116" s="7">
        <f>IF(AND(ISNUMBER(M116),M116&gt;0,ISNUMBER(I116)),IF(M116&lt;I116,"최저가 미달",IF(M116=I116,"최저가 동액","최저가 초과")),"")</f>
        <v/>
      </c>
      <c r="AA116" s="7">
        <f>IF(AND(T116="낙찰",ISNUMBER(M116),M116&gt;0,ISNUMBER(U116)),IF(M116&lt;U116,"실제 낙찰가 미만",IF(M116=U116,"실제 낙찰가 동액","실제 낙찰가 초과")),"")</f>
        <v/>
      </c>
      <c r="AB116" s="7">
        <f>IF(AND(ISNUMBER(M116),M116&gt;0,ISNUMBER(R116)),IF(M116&lt;R116,"상한가 미만",IF(M116=R116,"상한가 동액","상한가 초과")),"")</f>
        <v/>
      </c>
      <c r="AC116" s="2" t="n"/>
      <c r="AD116" s="7">
        <f>IF(COUNTA(A116:Q116,S116:V116,AC116)=0,"",IF(OR(A116="",B116="",C116="",NOT(ISNUMBER(G116))),"식별값 확인",IF(COUNTIFS(A$2:A$301,A116,B$2:B$301,B116,C$2:C$301,C116,G$2:G$301,G116)&gt;1,"중복 회차",IF(AND(ISNUMBER(K116),K116&gt;G116),"기일 후 예측",IF(AND(T116="낙찰",W116=""),"평가 입력 확인","")))))</f>
        <v/>
      </c>
    </row>
    <row r="117">
      <c r="A117" s="3" t="n"/>
      <c r="B117" s="3" t="n"/>
      <c r="C117" s="3" t="n"/>
      <c r="D117" s="3" t="n"/>
      <c r="E117" s="3" t="n"/>
      <c r="F117" s="3" t="n"/>
      <c r="G117" s="9" t="n"/>
      <c r="H117" s="10" t="n"/>
      <c r="I117" s="10" t="n"/>
      <c r="J117" s="3" t="n"/>
      <c r="K117" s="9" t="n"/>
      <c r="L117" s="10" t="n"/>
      <c r="M117" s="10" t="n"/>
      <c r="N117" s="3" t="n"/>
      <c r="O117" s="10" t="n"/>
      <c r="P117" s="10" t="n"/>
      <c r="Q117" s="10" t="n"/>
      <c r="R117" s="6">
        <f>IF(COUNT(O117:Q117)=3,O117-P117-Q117,"")</f>
        <v/>
      </c>
      <c r="S117" s="3" t="n"/>
      <c r="T117" s="3" t="n"/>
      <c r="U117" s="10" t="n"/>
      <c r="V117" s="3" t="n"/>
      <c r="W117" s="7">
        <f>IF(AND(A117&lt;&gt;"",B117&lt;&gt;"",C117&lt;&gt;"",ISNUMBER(G117),ISNUMBER(K117),K117&lt;=G117,K117&gt;0,T117="낙찰",ISNUMBER(L117),L117&gt;0,ISNUMBER(U117),U117&gt;0,COUNTIFS(A$2:A$301,A117,B$2:B$301,B117,C$2:C$301,C117,G$2:G$301,G117)=1),"평가 가능","")</f>
        <v/>
      </c>
      <c r="X117" s="8">
        <f>IF(W117="평가 가능",(L117-U117)/U117,"")</f>
        <v/>
      </c>
      <c r="Y117" s="8">
        <f>IF(W117="평가 가능",ABS(X117),"")</f>
        <v/>
      </c>
      <c r="Z117" s="7">
        <f>IF(AND(ISNUMBER(M117),M117&gt;0,ISNUMBER(I117)),IF(M117&lt;I117,"최저가 미달",IF(M117=I117,"최저가 동액","최저가 초과")),"")</f>
        <v/>
      </c>
      <c r="AA117" s="7">
        <f>IF(AND(T117="낙찰",ISNUMBER(M117),M117&gt;0,ISNUMBER(U117)),IF(M117&lt;U117,"실제 낙찰가 미만",IF(M117=U117,"실제 낙찰가 동액","실제 낙찰가 초과")),"")</f>
        <v/>
      </c>
      <c r="AB117" s="7">
        <f>IF(AND(ISNUMBER(M117),M117&gt;0,ISNUMBER(R117)),IF(M117&lt;R117,"상한가 미만",IF(M117=R117,"상한가 동액","상한가 초과")),"")</f>
        <v/>
      </c>
      <c r="AC117" s="3" t="n"/>
      <c r="AD117" s="7">
        <f>IF(COUNTA(A117:Q117,S117:V117,AC117)=0,"",IF(OR(A117="",B117="",C117="",NOT(ISNUMBER(G117))),"식별값 확인",IF(COUNTIFS(A$2:A$301,A117,B$2:B$301,B117,C$2:C$301,C117,G$2:G$301,G117)&gt;1,"중복 회차",IF(AND(ISNUMBER(K117),K117&gt;G117),"기일 후 예측",IF(AND(T117="낙찰",W117=""),"평가 입력 확인","")))))</f>
        <v/>
      </c>
    </row>
    <row r="118">
      <c r="A118" s="2" t="n"/>
      <c r="B118" s="2" t="n"/>
      <c r="C118" s="2" t="n"/>
      <c r="D118" s="2" t="n"/>
      <c r="E118" s="2" t="n"/>
      <c r="F118" s="2" t="n"/>
      <c r="G118" s="4" t="n"/>
      <c r="H118" s="5" t="n"/>
      <c r="I118" s="5" t="n"/>
      <c r="J118" s="2" t="n"/>
      <c r="K118" s="4" t="n"/>
      <c r="L118" s="5" t="n"/>
      <c r="M118" s="5" t="n"/>
      <c r="N118" s="2" t="n"/>
      <c r="O118" s="5" t="n"/>
      <c r="P118" s="5" t="n"/>
      <c r="Q118" s="5" t="n"/>
      <c r="R118" s="6">
        <f>IF(COUNT(O118:Q118)=3,O118-P118-Q118,"")</f>
        <v/>
      </c>
      <c r="S118" s="2" t="n"/>
      <c r="T118" s="2" t="n"/>
      <c r="U118" s="5" t="n"/>
      <c r="V118" s="2" t="n"/>
      <c r="W118" s="7">
        <f>IF(AND(A118&lt;&gt;"",B118&lt;&gt;"",C118&lt;&gt;"",ISNUMBER(G118),ISNUMBER(K118),K118&lt;=G118,K118&gt;0,T118="낙찰",ISNUMBER(L118),L118&gt;0,ISNUMBER(U118),U118&gt;0,COUNTIFS(A$2:A$301,A118,B$2:B$301,B118,C$2:C$301,C118,G$2:G$301,G118)=1),"평가 가능","")</f>
        <v/>
      </c>
      <c r="X118" s="8">
        <f>IF(W118="평가 가능",(L118-U118)/U118,"")</f>
        <v/>
      </c>
      <c r="Y118" s="8">
        <f>IF(W118="평가 가능",ABS(X118),"")</f>
        <v/>
      </c>
      <c r="Z118" s="7">
        <f>IF(AND(ISNUMBER(M118),M118&gt;0,ISNUMBER(I118)),IF(M118&lt;I118,"최저가 미달",IF(M118=I118,"최저가 동액","최저가 초과")),"")</f>
        <v/>
      </c>
      <c r="AA118" s="7">
        <f>IF(AND(T118="낙찰",ISNUMBER(M118),M118&gt;0,ISNUMBER(U118)),IF(M118&lt;U118,"실제 낙찰가 미만",IF(M118=U118,"실제 낙찰가 동액","실제 낙찰가 초과")),"")</f>
        <v/>
      </c>
      <c r="AB118" s="7">
        <f>IF(AND(ISNUMBER(M118),M118&gt;0,ISNUMBER(R118)),IF(M118&lt;R118,"상한가 미만",IF(M118=R118,"상한가 동액","상한가 초과")),"")</f>
        <v/>
      </c>
      <c r="AC118" s="2" t="n"/>
      <c r="AD118" s="7">
        <f>IF(COUNTA(A118:Q118,S118:V118,AC118)=0,"",IF(OR(A118="",B118="",C118="",NOT(ISNUMBER(G118))),"식별값 확인",IF(COUNTIFS(A$2:A$301,A118,B$2:B$301,B118,C$2:C$301,C118,G$2:G$301,G118)&gt;1,"중복 회차",IF(AND(ISNUMBER(K118),K118&gt;G118),"기일 후 예측",IF(AND(T118="낙찰",W118=""),"평가 입력 확인","")))))</f>
        <v/>
      </c>
    </row>
    <row r="119">
      <c r="A119" s="3" t="n"/>
      <c r="B119" s="3" t="n"/>
      <c r="C119" s="3" t="n"/>
      <c r="D119" s="3" t="n"/>
      <c r="E119" s="3" t="n"/>
      <c r="F119" s="3" t="n"/>
      <c r="G119" s="9" t="n"/>
      <c r="H119" s="10" t="n"/>
      <c r="I119" s="10" t="n"/>
      <c r="J119" s="3" t="n"/>
      <c r="K119" s="9" t="n"/>
      <c r="L119" s="10" t="n"/>
      <c r="M119" s="10" t="n"/>
      <c r="N119" s="3" t="n"/>
      <c r="O119" s="10" t="n"/>
      <c r="P119" s="10" t="n"/>
      <c r="Q119" s="10" t="n"/>
      <c r="R119" s="6">
        <f>IF(COUNT(O119:Q119)=3,O119-P119-Q119,"")</f>
        <v/>
      </c>
      <c r="S119" s="3" t="n"/>
      <c r="T119" s="3" t="n"/>
      <c r="U119" s="10" t="n"/>
      <c r="V119" s="3" t="n"/>
      <c r="W119" s="7">
        <f>IF(AND(A119&lt;&gt;"",B119&lt;&gt;"",C119&lt;&gt;"",ISNUMBER(G119),ISNUMBER(K119),K119&lt;=G119,K119&gt;0,T119="낙찰",ISNUMBER(L119),L119&gt;0,ISNUMBER(U119),U119&gt;0,COUNTIFS(A$2:A$301,A119,B$2:B$301,B119,C$2:C$301,C119,G$2:G$301,G119)=1),"평가 가능","")</f>
        <v/>
      </c>
      <c r="X119" s="8">
        <f>IF(W119="평가 가능",(L119-U119)/U119,"")</f>
        <v/>
      </c>
      <c r="Y119" s="8">
        <f>IF(W119="평가 가능",ABS(X119),"")</f>
        <v/>
      </c>
      <c r="Z119" s="7">
        <f>IF(AND(ISNUMBER(M119),M119&gt;0,ISNUMBER(I119)),IF(M119&lt;I119,"최저가 미달",IF(M119=I119,"최저가 동액","최저가 초과")),"")</f>
        <v/>
      </c>
      <c r="AA119" s="7">
        <f>IF(AND(T119="낙찰",ISNUMBER(M119),M119&gt;0,ISNUMBER(U119)),IF(M119&lt;U119,"실제 낙찰가 미만",IF(M119=U119,"실제 낙찰가 동액","실제 낙찰가 초과")),"")</f>
        <v/>
      </c>
      <c r="AB119" s="7">
        <f>IF(AND(ISNUMBER(M119),M119&gt;0,ISNUMBER(R119)),IF(M119&lt;R119,"상한가 미만",IF(M119=R119,"상한가 동액","상한가 초과")),"")</f>
        <v/>
      </c>
      <c r="AC119" s="3" t="n"/>
      <c r="AD119" s="7">
        <f>IF(COUNTA(A119:Q119,S119:V119,AC119)=0,"",IF(OR(A119="",B119="",C119="",NOT(ISNUMBER(G119))),"식별값 확인",IF(COUNTIFS(A$2:A$301,A119,B$2:B$301,B119,C$2:C$301,C119,G$2:G$301,G119)&gt;1,"중복 회차",IF(AND(ISNUMBER(K119),K119&gt;G119),"기일 후 예측",IF(AND(T119="낙찰",W119=""),"평가 입력 확인","")))))</f>
        <v/>
      </c>
    </row>
    <row r="120">
      <c r="A120" s="2" t="n"/>
      <c r="B120" s="2" t="n"/>
      <c r="C120" s="2" t="n"/>
      <c r="D120" s="2" t="n"/>
      <c r="E120" s="2" t="n"/>
      <c r="F120" s="2" t="n"/>
      <c r="G120" s="4" t="n"/>
      <c r="H120" s="5" t="n"/>
      <c r="I120" s="5" t="n"/>
      <c r="J120" s="2" t="n"/>
      <c r="K120" s="4" t="n"/>
      <c r="L120" s="5" t="n"/>
      <c r="M120" s="5" t="n"/>
      <c r="N120" s="2" t="n"/>
      <c r="O120" s="5" t="n"/>
      <c r="P120" s="5" t="n"/>
      <c r="Q120" s="5" t="n"/>
      <c r="R120" s="6">
        <f>IF(COUNT(O120:Q120)=3,O120-P120-Q120,"")</f>
        <v/>
      </c>
      <c r="S120" s="2" t="n"/>
      <c r="T120" s="2" t="n"/>
      <c r="U120" s="5" t="n"/>
      <c r="V120" s="2" t="n"/>
      <c r="W120" s="7">
        <f>IF(AND(A120&lt;&gt;"",B120&lt;&gt;"",C120&lt;&gt;"",ISNUMBER(G120),ISNUMBER(K120),K120&lt;=G120,K120&gt;0,T120="낙찰",ISNUMBER(L120),L120&gt;0,ISNUMBER(U120),U120&gt;0,COUNTIFS(A$2:A$301,A120,B$2:B$301,B120,C$2:C$301,C120,G$2:G$301,G120)=1),"평가 가능","")</f>
        <v/>
      </c>
      <c r="X120" s="8">
        <f>IF(W120="평가 가능",(L120-U120)/U120,"")</f>
        <v/>
      </c>
      <c r="Y120" s="8">
        <f>IF(W120="평가 가능",ABS(X120),"")</f>
        <v/>
      </c>
      <c r="Z120" s="7">
        <f>IF(AND(ISNUMBER(M120),M120&gt;0,ISNUMBER(I120)),IF(M120&lt;I120,"최저가 미달",IF(M120=I120,"최저가 동액","최저가 초과")),"")</f>
        <v/>
      </c>
      <c r="AA120" s="7">
        <f>IF(AND(T120="낙찰",ISNUMBER(M120),M120&gt;0,ISNUMBER(U120)),IF(M120&lt;U120,"실제 낙찰가 미만",IF(M120=U120,"실제 낙찰가 동액","실제 낙찰가 초과")),"")</f>
        <v/>
      </c>
      <c r="AB120" s="7">
        <f>IF(AND(ISNUMBER(M120),M120&gt;0,ISNUMBER(R120)),IF(M120&lt;R120,"상한가 미만",IF(M120=R120,"상한가 동액","상한가 초과")),"")</f>
        <v/>
      </c>
      <c r="AC120" s="2" t="n"/>
      <c r="AD120" s="7">
        <f>IF(COUNTA(A120:Q120,S120:V120,AC120)=0,"",IF(OR(A120="",B120="",C120="",NOT(ISNUMBER(G120))),"식별값 확인",IF(COUNTIFS(A$2:A$301,A120,B$2:B$301,B120,C$2:C$301,C120,G$2:G$301,G120)&gt;1,"중복 회차",IF(AND(ISNUMBER(K120),K120&gt;G120),"기일 후 예측",IF(AND(T120="낙찰",W120=""),"평가 입력 확인","")))))</f>
        <v/>
      </c>
    </row>
    <row r="121">
      <c r="A121" s="3" t="n"/>
      <c r="B121" s="3" t="n"/>
      <c r="C121" s="3" t="n"/>
      <c r="D121" s="3" t="n"/>
      <c r="E121" s="3" t="n"/>
      <c r="F121" s="3" t="n"/>
      <c r="G121" s="9" t="n"/>
      <c r="H121" s="10" t="n"/>
      <c r="I121" s="10" t="n"/>
      <c r="J121" s="3" t="n"/>
      <c r="K121" s="9" t="n"/>
      <c r="L121" s="10" t="n"/>
      <c r="M121" s="10" t="n"/>
      <c r="N121" s="3" t="n"/>
      <c r="O121" s="10" t="n"/>
      <c r="P121" s="10" t="n"/>
      <c r="Q121" s="10" t="n"/>
      <c r="R121" s="6">
        <f>IF(COUNT(O121:Q121)=3,O121-P121-Q121,"")</f>
        <v/>
      </c>
      <c r="S121" s="3" t="n"/>
      <c r="T121" s="3" t="n"/>
      <c r="U121" s="10" t="n"/>
      <c r="V121" s="3" t="n"/>
      <c r="W121" s="7">
        <f>IF(AND(A121&lt;&gt;"",B121&lt;&gt;"",C121&lt;&gt;"",ISNUMBER(G121),ISNUMBER(K121),K121&lt;=G121,K121&gt;0,T121="낙찰",ISNUMBER(L121),L121&gt;0,ISNUMBER(U121),U121&gt;0,COUNTIFS(A$2:A$301,A121,B$2:B$301,B121,C$2:C$301,C121,G$2:G$301,G121)=1),"평가 가능","")</f>
        <v/>
      </c>
      <c r="X121" s="8">
        <f>IF(W121="평가 가능",(L121-U121)/U121,"")</f>
        <v/>
      </c>
      <c r="Y121" s="8">
        <f>IF(W121="평가 가능",ABS(X121),"")</f>
        <v/>
      </c>
      <c r="Z121" s="7">
        <f>IF(AND(ISNUMBER(M121),M121&gt;0,ISNUMBER(I121)),IF(M121&lt;I121,"최저가 미달",IF(M121=I121,"최저가 동액","최저가 초과")),"")</f>
        <v/>
      </c>
      <c r="AA121" s="7">
        <f>IF(AND(T121="낙찰",ISNUMBER(M121),M121&gt;0,ISNUMBER(U121)),IF(M121&lt;U121,"실제 낙찰가 미만",IF(M121=U121,"실제 낙찰가 동액","실제 낙찰가 초과")),"")</f>
        <v/>
      </c>
      <c r="AB121" s="7">
        <f>IF(AND(ISNUMBER(M121),M121&gt;0,ISNUMBER(R121)),IF(M121&lt;R121,"상한가 미만",IF(M121=R121,"상한가 동액","상한가 초과")),"")</f>
        <v/>
      </c>
      <c r="AC121" s="3" t="n"/>
      <c r="AD121" s="7">
        <f>IF(COUNTA(A121:Q121,S121:V121,AC121)=0,"",IF(OR(A121="",B121="",C121="",NOT(ISNUMBER(G121))),"식별값 확인",IF(COUNTIFS(A$2:A$301,A121,B$2:B$301,B121,C$2:C$301,C121,G$2:G$301,G121)&gt;1,"중복 회차",IF(AND(ISNUMBER(K121),K121&gt;G121),"기일 후 예측",IF(AND(T121="낙찰",W121=""),"평가 입력 확인","")))))</f>
        <v/>
      </c>
    </row>
    <row r="122">
      <c r="A122" s="2" t="n"/>
      <c r="B122" s="2" t="n"/>
      <c r="C122" s="2" t="n"/>
      <c r="D122" s="2" t="n"/>
      <c r="E122" s="2" t="n"/>
      <c r="F122" s="2" t="n"/>
      <c r="G122" s="4" t="n"/>
      <c r="H122" s="5" t="n"/>
      <c r="I122" s="5" t="n"/>
      <c r="J122" s="2" t="n"/>
      <c r="K122" s="4" t="n"/>
      <c r="L122" s="5" t="n"/>
      <c r="M122" s="5" t="n"/>
      <c r="N122" s="2" t="n"/>
      <c r="O122" s="5" t="n"/>
      <c r="P122" s="5" t="n"/>
      <c r="Q122" s="5" t="n"/>
      <c r="R122" s="6">
        <f>IF(COUNT(O122:Q122)=3,O122-P122-Q122,"")</f>
        <v/>
      </c>
      <c r="S122" s="2" t="n"/>
      <c r="T122" s="2" t="n"/>
      <c r="U122" s="5" t="n"/>
      <c r="V122" s="2" t="n"/>
      <c r="W122" s="7">
        <f>IF(AND(A122&lt;&gt;"",B122&lt;&gt;"",C122&lt;&gt;"",ISNUMBER(G122),ISNUMBER(K122),K122&lt;=G122,K122&gt;0,T122="낙찰",ISNUMBER(L122),L122&gt;0,ISNUMBER(U122),U122&gt;0,COUNTIFS(A$2:A$301,A122,B$2:B$301,B122,C$2:C$301,C122,G$2:G$301,G122)=1),"평가 가능","")</f>
        <v/>
      </c>
      <c r="X122" s="8">
        <f>IF(W122="평가 가능",(L122-U122)/U122,"")</f>
        <v/>
      </c>
      <c r="Y122" s="8">
        <f>IF(W122="평가 가능",ABS(X122),"")</f>
        <v/>
      </c>
      <c r="Z122" s="7">
        <f>IF(AND(ISNUMBER(M122),M122&gt;0,ISNUMBER(I122)),IF(M122&lt;I122,"최저가 미달",IF(M122=I122,"최저가 동액","최저가 초과")),"")</f>
        <v/>
      </c>
      <c r="AA122" s="7">
        <f>IF(AND(T122="낙찰",ISNUMBER(M122),M122&gt;0,ISNUMBER(U122)),IF(M122&lt;U122,"실제 낙찰가 미만",IF(M122=U122,"실제 낙찰가 동액","실제 낙찰가 초과")),"")</f>
        <v/>
      </c>
      <c r="AB122" s="7">
        <f>IF(AND(ISNUMBER(M122),M122&gt;0,ISNUMBER(R122)),IF(M122&lt;R122,"상한가 미만",IF(M122=R122,"상한가 동액","상한가 초과")),"")</f>
        <v/>
      </c>
      <c r="AC122" s="2" t="n"/>
      <c r="AD122" s="7">
        <f>IF(COUNTA(A122:Q122,S122:V122,AC122)=0,"",IF(OR(A122="",B122="",C122="",NOT(ISNUMBER(G122))),"식별값 확인",IF(COUNTIFS(A$2:A$301,A122,B$2:B$301,B122,C$2:C$301,C122,G$2:G$301,G122)&gt;1,"중복 회차",IF(AND(ISNUMBER(K122),K122&gt;G122),"기일 후 예측",IF(AND(T122="낙찰",W122=""),"평가 입력 확인","")))))</f>
        <v/>
      </c>
    </row>
    <row r="123">
      <c r="A123" s="3" t="n"/>
      <c r="B123" s="3" t="n"/>
      <c r="C123" s="3" t="n"/>
      <c r="D123" s="3" t="n"/>
      <c r="E123" s="3" t="n"/>
      <c r="F123" s="3" t="n"/>
      <c r="G123" s="9" t="n"/>
      <c r="H123" s="10" t="n"/>
      <c r="I123" s="10" t="n"/>
      <c r="J123" s="3" t="n"/>
      <c r="K123" s="9" t="n"/>
      <c r="L123" s="10" t="n"/>
      <c r="M123" s="10" t="n"/>
      <c r="N123" s="3" t="n"/>
      <c r="O123" s="10" t="n"/>
      <c r="P123" s="10" t="n"/>
      <c r="Q123" s="10" t="n"/>
      <c r="R123" s="6">
        <f>IF(COUNT(O123:Q123)=3,O123-P123-Q123,"")</f>
        <v/>
      </c>
      <c r="S123" s="3" t="n"/>
      <c r="T123" s="3" t="n"/>
      <c r="U123" s="10" t="n"/>
      <c r="V123" s="3" t="n"/>
      <c r="W123" s="7">
        <f>IF(AND(A123&lt;&gt;"",B123&lt;&gt;"",C123&lt;&gt;"",ISNUMBER(G123),ISNUMBER(K123),K123&lt;=G123,K123&gt;0,T123="낙찰",ISNUMBER(L123),L123&gt;0,ISNUMBER(U123),U123&gt;0,COUNTIFS(A$2:A$301,A123,B$2:B$301,B123,C$2:C$301,C123,G$2:G$301,G123)=1),"평가 가능","")</f>
        <v/>
      </c>
      <c r="X123" s="8">
        <f>IF(W123="평가 가능",(L123-U123)/U123,"")</f>
        <v/>
      </c>
      <c r="Y123" s="8">
        <f>IF(W123="평가 가능",ABS(X123),"")</f>
        <v/>
      </c>
      <c r="Z123" s="7">
        <f>IF(AND(ISNUMBER(M123),M123&gt;0,ISNUMBER(I123)),IF(M123&lt;I123,"최저가 미달",IF(M123=I123,"최저가 동액","최저가 초과")),"")</f>
        <v/>
      </c>
      <c r="AA123" s="7">
        <f>IF(AND(T123="낙찰",ISNUMBER(M123),M123&gt;0,ISNUMBER(U123)),IF(M123&lt;U123,"실제 낙찰가 미만",IF(M123=U123,"실제 낙찰가 동액","실제 낙찰가 초과")),"")</f>
        <v/>
      </c>
      <c r="AB123" s="7">
        <f>IF(AND(ISNUMBER(M123),M123&gt;0,ISNUMBER(R123)),IF(M123&lt;R123,"상한가 미만",IF(M123=R123,"상한가 동액","상한가 초과")),"")</f>
        <v/>
      </c>
      <c r="AC123" s="3" t="n"/>
      <c r="AD123" s="7">
        <f>IF(COUNTA(A123:Q123,S123:V123,AC123)=0,"",IF(OR(A123="",B123="",C123="",NOT(ISNUMBER(G123))),"식별값 확인",IF(COUNTIFS(A$2:A$301,A123,B$2:B$301,B123,C$2:C$301,C123,G$2:G$301,G123)&gt;1,"중복 회차",IF(AND(ISNUMBER(K123),K123&gt;G123),"기일 후 예측",IF(AND(T123="낙찰",W123=""),"평가 입력 확인","")))))</f>
        <v/>
      </c>
    </row>
    <row r="124">
      <c r="A124" s="2" t="n"/>
      <c r="B124" s="2" t="n"/>
      <c r="C124" s="2" t="n"/>
      <c r="D124" s="2" t="n"/>
      <c r="E124" s="2" t="n"/>
      <c r="F124" s="2" t="n"/>
      <c r="G124" s="4" t="n"/>
      <c r="H124" s="5" t="n"/>
      <c r="I124" s="5" t="n"/>
      <c r="J124" s="2" t="n"/>
      <c r="K124" s="4" t="n"/>
      <c r="L124" s="5" t="n"/>
      <c r="M124" s="5" t="n"/>
      <c r="N124" s="2" t="n"/>
      <c r="O124" s="5" t="n"/>
      <c r="P124" s="5" t="n"/>
      <c r="Q124" s="5" t="n"/>
      <c r="R124" s="6">
        <f>IF(COUNT(O124:Q124)=3,O124-P124-Q124,"")</f>
        <v/>
      </c>
      <c r="S124" s="2" t="n"/>
      <c r="T124" s="2" t="n"/>
      <c r="U124" s="5" t="n"/>
      <c r="V124" s="2" t="n"/>
      <c r="W124" s="7">
        <f>IF(AND(A124&lt;&gt;"",B124&lt;&gt;"",C124&lt;&gt;"",ISNUMBER(G124),ISNUMBER(K124),K124&lt;=G124,K124&gt;0,T124="낙찰",ISNUMBER(L124),L124&gt;0,ISNUMBER(U124),U124&gt;0,COUNTIFS(A$2:A$301,A124,B$2:B$301,B124,C$2:C$301,C124,G$2:G$301,G124)=1),"평가 가능","")</f>
        <v/>
      </c>
      <c r="X124" s="8">
        <f>IF(W124="평가 가능",(L124-U124)/U124,"")</f>
        <v/>
      </c>
      <c r="Y124" s="8">
        <f>IF(W124="평가 가능",ABS(X124),"")</f>
        <v/>
      </c>
      <c r="Z124" s="7">
        <f>IF(AND(ISNUMBER(M124),M124&gt;0,ISNUMBER(I124)),IF(M124&lt;I124,"최저가 미달",IF(M124=I124,"최저가 동액","최저가 초과")),"")</f>
        <v/>
      </c>
      <c r="AA124" s="7">
        <f>IF(AND(T124="낙찰",ISNUMBER(M124),M124&gt;0,ISNUMBER(U124)),IF(M124&lt;U124,"실제 낙찰가 미만",IF(M124=U124,"실제 낙찰가 동액","실제 낙찰가 초과")),"")</f>
        <v/>
      </c>
      <c r="AB124" s="7">
        <f>IF(AND(ISNUMBER(M124),M124&gt;0,ISNUMBER(R124)),IF(M124&lt;R124,"상한가 미만",IF(M124=R124,"상한가 동액","상한가 초과")),"")</f>
        <v/>
      </c>
      <c r="AC124" s="2" t="n"/>
      <c r="AD124" s="7">
        <f>IF(COUNTA(A124:Q124,S124:V124,AC124)=0,"",IF(OR(A124="",B124="",C124="",NOT(ISNUMBER(G124))),"식별값 확인",IF(COUNTIFS(A$2:A$301,A124,B$2:B$301,B124,C$2:C$301,C124,G$2:G$301,G124)&gt;1,"중복 회차",IF(AND(ISNUMBER(K124),K124&gt;G124),"기일 후 예측",IF(AND(T124="낙찰",W124=""),"평가 입력 확인","")))))</f>
        <v/>
      </c>
    </row>
    <row r="125">
      <c r="A125" s="3" t="n"/>
      <c r="B125" s="3" t="n"/>
      <c r="C125" s="3" t="n"/>
      <c r="D125" s="3" t="n"/>
      <c r="E125" s="3" t="n"/>
      <c r="F125" s="3" t="n"/>
      <c r="G125" s="9" t="n"/>
      <c r="H125" s="10" t="n"/>
      <c r="I125" s="10" t="n"/>
      <c r="J125" s="3" t="n"/>
      <c r="K125" s="9" t="n"/>
      <c r="L125" s="10" t="n"/>
      <c r="M125" s="10" t="n"/>
      <c r="N125" s="3" t="n"/>
      <c r="O125" s="10" t="n"/>
      <c r="P125" s="10" t="n"/>
      <c r="Q125" s="10" t="n"/>
      <c r="R125" s="6">
        <f>IF(COUNT(O125:Q125)=3,O125-P125-Q125,"")</f>
        <v/>
      </c>
      <c r="S125" s="3" t="n"/>
      <c r="T125" s="3" t="n"/>
      <c r="U125" s="10" t="n"/>
      <c r="V125" s="3" t="n"/>
      <c r="W125" s="7">
        <f>IF(AND(A125&lt;&gt;"",B125&lt;&gt;"",C125&lt;&gt;"",ISNUMBER(G125),ISNUMBER(K125),K125&lt;=G125,K125&gt;0,T125="낙찰",ISNUMBER(L125),L125&gt;0,ISNUMBER(U125),U125&gt;0,COUNTIFS(A$2:A$301,A125,B$2:B$301,B125,C$2:C$301,C125,G$2:G$301,G125)=1),"평가 가능","")</f>
        <v/>
      </c>
      <c r="X125" s="8">
        <f>IF(W125="평가 가능",(L125-U125)/U125,"")</f>
        <v/>
      </c>
      <c r="Y125" s="8">
        <f>IF(W125="평가 가능",ABS(X125),"")</f>
        <v/>
      </c>
      <c r="Z125" s="7">
        <f>IF(AND(ISNUMBER(M125),M125&gt;0,ISNUMBER(I125)),IF(M125&lt;I125,"최저가 미달",IF(M125=I125,"최저가 동액","최저가 초과")),"")</f>
        <v/>
      </c>
      <c r="AA125" s="7">
        <f>IF(AND(T125="낙찰",ISNUMBER(M125),M125&gt;0,ISNUMBER(U125)),IF(M125&lt;U125,"실제 낙찰가 미만",IF(M125=U125,"실제 낙찰가 동액","실제 낙찰가 초과")),"")</f>
        <v/>
      </c>
      <c r="AB125" s="7">
        <f>IF(AND(ISNUMBER(M125),M125&gt;0,ISNUMBER(R125)),IF(M125&lt;R125,"상한가 미만",IF(M125=R125,"상한가 동액","상한가 초과")),"")</f>
        <v/>
      </c>
      <c r="AC125" s="3" t="n"/>
      <c r="AD125" s="7">
        <f>IF(COUNTA(A125:Q125,S125:V125,AC125)=0,"",IF(OR(A125="",B125="",C125="",NOT(ISNUMBER(G125))),"식별값 확인",IF(COUNTIFS(A$2:A$301,A125,B$2:B$301,B125,C$2:C$301,C125,G$2:G$301,G125)&gt;1,"중복 회차",IF(AND(ISNUMBER(K125),K125&gt;G125),"기일 후 예측",IF(AND(T125="낙찰",W125=""),"평가 입력 확인","")))))</f>
        <v/>
      </c>
    </row>
    <row r="126">
      <c r="A126" s="2" t="n"/>
      <c r="B126" s="2" t="n"/>
      <c r="C126" s="2" t="n"/>
      <c r="D126" s="2" t="n"/>
      <c r="E126" s="2" t="n"/>
      <c r="F126" s="2" t="n"/>
      <c r="G126" s="4" t="n"/>
      <c r="H126" s="5" t="n"/>
      <c r="I126" s="5" t="n"/>
      <c r="J126" s="2" t="n"/>
      <c r="K126" s="4" t="n"/>
      <c r="L126" s="5" t="n"/>
      <c r="M126" s="5" t="n"/>
      <c r="N126" s="2" t="n"/>
      <c r="O126" s="5" t="n"/>
      <c r="P126" s="5" t="n"/>
      <c r="Q126" s="5" t="n"/>
      <c r="R126" s="6">
        <f>IF(COUNT(O126:Q126)=3,O126-P126-Q126,"")</f>
        <v/>
      </c>
      <c r="S126" s="2" t="n"/>
      <c r="T126" s="2" t="n"/>
      <c r="U126" s="5" t="n"/>
      <c r="V126" s="2" t="n"/>
      <c r="W126" s="7">
        <f>IF(AND(A126&lt;&gt;"",B126&lt;&gt;"",C126&lt;&gt;"",ISNUMBER(G126),ISNUMBER(K126),K126&lt;=G126,K126&gt;0,T126="낙찰",ISNUMBER(L126),L126&gt;0,ISNUMBER(U126),U126&gt;0,COUNTIFS(A$2:A$301,A126,B$2:B$301,B126,C$2:C$301,C126,G$2:G$301,G126)=1),"평가 가능","")</f>
        <v/>
      </c>
      <c r="X126" s="8">
        <f>IF(W126="평가 가능",(L126-U126)/U126,"")</f>
        <v/>
      </c>
      <c r="Y126" s="8">
        <f>IF(W126="평가 가능",ABS(X126),"")</f>
        <v/>
      </c>
      <c r="Z126" s="7">
        <f>IF(AND(ISNUMBER(M126),M126&gt;0,ISNUMBER(I126)),IF(M126&lt;I126,"최저가 미달",IF(M126=I126,"최저가 동액","최저가 초과")),"")</f>
        <v/>
      </c>
      <c r="AA126" s="7">
        <f>IF(AND(T126="낙찰",ISNUMBER(M126),M126&gt;0,ISNUMBER(U126)),IF(M126&lt;U126,"실제 낙찰가 미만",IF(M126=U126,"실제 낙찰가 동액","실제 낙찰가 초과")),"")</f>
        <v/>
      </c>
      <c r="AB126" s="7">
        <f>IF(AND(ISNUMBER(M126),M126&gt;0,ISNUMBER(R126)),IF(M126&lt;R126,"상한가 미만",IF(M126=R126,"상한가 동액","상한가 초과")),"")</f>
        <v/>
      </c>
      <c r="AC126" s="2" t="n"/>
      <c r="AD126" s="7">
        <f>IF(COUNTA(A126:Q126,S126:V126,AC126)=0,"",IF(OR(A126="",B126="",C126="",NOT(ISNUMBER(G126))),"식별값 확인",IF(COUNTIFS(A$2:A$301,A126,B$2:B$301,B126,C$2:C$301,C126,G$2:G$301,G126)&gt;1,"중복 회차",IF(AND(ISNUMBER(K126),K126&gt;G126),"기일 후 예측",IF(AND(T126="낙찰",W126=""),"평가 입력 확인","")))))</f>
        <v/>
      </c>
    </row>
    <row r="127">
      <c r="A127" s="3" t="n"/>
      <c r="B127" s="3" t="n"/>
      <c r="C127" s="3" t="n"/>
      <c r="D127" s="3" t="n"/>
      <c r="E127" s="3" t="n"/>
      <c r="F127" s="3" t="n"/>
      <c r="G127" s="9" t="n"/>
      <c r="H127" s="10" t="n"/>
      <c r="I127" s="10" t="n"/>
      <c r="J127" s="3" t="n"/>
      <c r="K127" s="9" t="n"/>
      <c r="L127" s="10" t="n"/>
      <c r="M127" s="10" t="n"/>
      <c r="N127" s="3" t="n"/>
      <c r="O127" s="10" t="n"/>
      <c r="P127" s="10" t="n"/>
      <c r="Q127" s="10" t="n"/>
      <c r="R127" s="6">
        <f>IF(COUNT(O127:Q127)=3,O127-P127-Q127,"")</f>
        <v/>
      </c>
      <c r="S127" s="3" t="n"/>
      <c r="T127" s="3" t="n"/>
      <c r="U127" s="10" t="n"/>
      <c r="V127" s="3" t="n"/>
      <c r="W127" s="7">
        <f>IF(AND(A127&lt;&gt;"",B127&lt;&gt;"",C127&lt;&gt;"",ISNUMBER(G127),ISNUMBER(K127),K127&lt;=G127,K127&gt;0,T127="낙찰",ISNUMBER(L127),L127&gt;0,ISNUMBER(U127),U127&gt;0,COUNTIFS(A$2:A$301,A127,B$2:B$301,B127,C$2:C$301,C127,G$2:G$301,G127)=1),"평가 가능","")</f>
        <v/>
      </c>
      <c r="X127" s="8">
        <f>IF(W127="평가 가능",(L127-U127)/U127,"")</f>
        <v/>
      </c>
      <c r="Y127" s="8">
        <f>IF(W127="평가 가능",ABS(X127),"")</f>
        <v/>
      </c>
      <c r="Z127" s="7">
        <f>IF(AND(ISNUMBER(M127),M127&gt;0,ISNUMBER(I127)),IF(M127&lt;I127,"최저가 미달",IF(M127=I127,"최저가 동액","최저가 초과")),"")</f>
        <v/>
      </c>
      <c r="AA127" s="7">
        <f>IF(AND(T127="낙찰",ISNUMBER(M127),M127&gt;0,ISNUMBER(U127)),IF(M127&lt;U127,"실제 낙찰가 미만",IF(M127=U127,"실제 낙찰가 동액","실제 낙찰가 초과")),"")</f>
        <v/>
      </c>
      <c r="AB127" s="7">
        <f>IF(AND(ISNUMBER(M127),M127&gt;0,ISNUMBER(R127)),IF(M127&lt;R127,"상한가 미만",IF(M127=R127,"상한가 동액","상한가 초과")),"")</f>
        <v/>
      </c>
      <c r="AC127" s="3" t="n"/>
      <c r="AD127" s="7">
        <f>IF(COUNTA(A127:Q127,S127:V127,AC127)=0,"",IF(OR(A127="",B127="",C127="",NOT(ISNUMBER(G127))),"식별값 확인",IF(COUNTIFS(A$2:A$301,A127,B$2:B$301,B127,C$2:C$301,C127,G$2:G$301,G127)&gt;1,"중복 회차",IF(AND(ISNUMBER(K127),K127&gt;G127),"기일 후 예측",IF(AND(T127="낙찰",W127=""),"평가 입력 확인","")))))</f>
        <v/>
      </c>
    </row>
    <row r="128">
      <c r="A128" s="2" t="n"/>
      <c r="B128" s="2" t="n"/>
      <c r="C128" s="2" t="n"/>
      <c r="D128" s="2" t="n"/>
      <c r="E128" s="2" t="n"/>
      <c r="F128" s="2" t="n"/>
      <c r="G128" s="4" t="n"/>
      <c r="H128" s="5" t="n"/>
      <c r="I128" s="5" t="n"/>
      <c r="J128" s="2" t="n"/>
      <c r="K128" s="4" t="n"/>
      <c r="L128" s="5" t="n"/>
      <c r="M128" s="5" t="n"/>
      <c r="N128" s="2" t="n"/>
      <c r="O128" s="5" t="n"/>
      <c r="P128" s="5" t="n"/>
      <c r="Q128" s="5" t="n"/>
      <c r="R128" s="6">
        <f>IF(COUNT(O128:Q128)=3,O128-P128-Q128,"")</f>
        <v/>
      </c>
      <c r="S128" s="2" t="n"/>
      <c r="T128" s="2" t="n"/>
      <c r="U128" s="5" t="n"/>
      <c r="V128" s="2" t="n"/>
      <c r="W128" s="7">
        <f>IF(AND(A128&lt;&gt;"",B128&lt;&gt;"",C128&lt;&gt;"",ISNUMBER(G128),ISNUMBER(K128),K128&lt;=G128,K128&gt;0,T128="낙찰",ISNUMBER(L128),L128&gt;0,ISNUMBER(U128),U128&gt;0,COUNTIFS(A$2:A$301,A128,B$2:B$301,B128,C$2:C$301,C128,G$2:G$301,G128)=1),"평가 가능","")</f>
        <v/>
      </c>
      <c r="X128" s="8">
        <f>IF(W128="평가 가능",(L128-U128)/U128,"")</f>
        <v/>
      </c>
      <c r="Y128" s="8">
        <f>IF(W128="평가 가능",ABS(X128),"")</f>
        <v/>
      </c>
      <c r="Z128" s="7">
        <f>IF(AND(ISNUMBER(M128),M128&gt;0,ISNUMBER(I128)),IF(M128&lt;I128,"최저가 미달",IF(M128=I128,"최저가 동액","최저가 초과")),"")</f>
        <v/>
      </c>
      <c r="AA128" s="7">
        <f>IF(AND(T128="낙찰",ISNUMBER(M128),M128&gt;0,ISNUMBER(U128)),IF(M128&lt;U128,"실제 낙찰가 미만",IF(M128=U128,"실제 낙찰가 동액","실제 낙찰가 초과")),"")</f>
        <v/>
      </c>
      <c r="AB128" s="7">
        <f>IF(AND(ISNUMBER(M128),M128&gt;0,ISNUMBER(R128)),IF(M128&lt;R128,"상한가 미만",IF(M128=R128,"상한가 동액","상한가 초과")),"")</f>
        <v/>
      </c>
      <c r="AC128" s="2" t="n"/>
      <c r="AD128" s="7">
        <f>IF(COUNTA(A128:Q128,S128:V128,AC128)=0,"",IF(OR(A128="",B128="",C128="",NOT(ISNUMBER(G128))),"식별값 확인",IF(COUNTIFS(A$2:A$301,A128,B$2:B$301,B128,C$2:C$301,C128,G$2:G$301,G128)&gt;1,"중복 회차",IF(AND(ISNUMBER(K128),K128&gt;G128),"기일 후 예측",IF(AND(T128="낙찰",W128=""),"평가 입력 확인","")))))</f>
        <v/>
      </c>
    </row>
    <row r="129">
      <c r="A129" s="3" t="n"/>
      <c r="B129" s="3" t="n"/>
      <c r="C129" s="3" t="n"/>
      <c r="D129" s="3" t="n"/>
      <c r="E129" s="3" t="n"/>
      <c r="F129" s="3" t="n"/>
      <c r="G129" s="9" t="n"/>
      <c r="H129" s="10" t="n"/>
      <c r="I129" s="10" t="n"/>
      <c r="J129" s="3" t="n"/>
      <c r="K129" s="9" t="n"/>
      <c r="L129" s="10" t="n"/>
      <c r="M129" s="10" t="n"/>
      <c r="N129" s="3" t="n"/>
      <c r="O129" s="10" t="n"/>
      <c r="P129" s="10" t="n"/>
      <c r="Q129" s="10" t="n"/>
      <c r="R129" s="6">
        <f>IF(COUNT(O129:Q129)=3,O129-P129-Q129,"")</f>
        <v/>
      </c>
      <c r="S129" s="3" t="n"/>
      <c r="T129" s="3" t="n"/>
      <c r="U129" s="10" t="n"/>
      <c r="V129" s="3" t="n"/>
      <c r="W129" s="7">
        <f>IF(AND(A129&lt;&gt;"",B129&lt;&gt;"",C129&lt;&gt;"",ISNUMBER(G129),ISNUMBER(K129),K129&lt;=G129,K129&gt;0,T129="낙찰",ISNUMBER(L129),L129&gt;0,ISNUMBER(U129),U129&gt;0,COUNTIFS(A$2:A$301,A129,B$2:B$301,B129,C$2:C$301,C129,G$2:G$301,G129)=1),"평가 가능","")</f>
        <v/>
      </c>
      <c r="X129" s="8">
        <f>IF(W129="평가 가능",(L129-U129)/U129,"")</f>
        <v/>
      </c>
      <c r="Y129" s="8">
        <f>IF(W129="평가 가능",ABS(X129),"")</f>
        <v/>
      </c>
      <c r="Z129" s="7">
        <f>IF(AND(ISNUMBER(M129),M129&gt;0,ISNUMBER(I129)),IF(M129&lt;I129,"최저가 미달",IF(M129=I129,"최저가 동액","최저가 초과")),"")</f>
        <v/>
      </c>
      <c r="AA129" s="7">
        <f>IF(AND(T129="낙찰",ISNUMBER(M129),M129&gt;0,ISNUMBER(U129)),IF(M129&lt;U129,"실제 낙찰가 미만",IF(M129=U129,"실제 낙찰가 동액","실제 낙찰가 초과")),"")</f>
        <v/>
      </c>
      <c r="AB129" s="7">
        <f>IF(AND(ISNUMBER(M129),M129&gt;0,ISNUMBER(R129)),IF(M129&lt;R129,"상한가 미만",IF(M129=R129,"상한가 동액","상한가 초과")),"")</f>
        <v/>
      </c>
      <c r="AC129" s="3" t="n"/>
      <c r="AD129" s="7">
        <f>IF(COUNTA(A129:Q129,S129:V129,AC129)=0,"",IF(OR(A129="",B129="",C129="",NOT(ISNUMBER(G129))),"식별값 확인",IF(COUNTIFS(A$2:A$301,A129,B$2:B$301,B129,C$2:C$301,C129,G$2:G$301,G129)&gt;1,"중복 회차",IF(AND(ISNUMBER(K129),K129&gt;G129),"기일 후 예측",IF(AND(T129="낙찰",W129=""),"평가 입력 확인","")))))</f>
        <v/>
      </c>
    </row>
    <row r="130">
      <c r="A130" s="2" t="n"/>
      <c r="B130" s="2" t="n"/>
      <c r="C130" s="2" t="n"/>
      <c r="D130" s="2" t="n"/>
      <c r="E130" s="2" t="n"/>
      <c r="F130" s="2" t="n"/>
      <c r="G130" s="4" t="n"/>
      <c r="H130" s="5" t="n"/>
      <c r="I130" s="5" t="n"/>
      <c r="J130" s="2" t="n"/>
      <c r="K130" s="4" t="n"/>
      <c r="L130" s="5" t="n"/>
      <c r="M130" s="5" t="n"/>
      <c r="N130" s="2" t="n"/>
      <c r="O130" s="5" t="n"/>
      <c r="P130" s="5" t="n"/>
      <c r="Q130" s="5" t="n"/>
      <c r="R130" s="6">
        <f>IF(COUNT(O130:Q130)=3,O130-P130-Q130,"")</f>
        <v/>
      </c>
      <c r="S130" s="2" t="n"/>
      <c r="T130" s="2" t="n"/>
      <c r="U130" s="5" t="n"/>
      <c r="V130" s="2" t="n"/>
      <c r="W130" s="7">
        <f>IF(AND(A130&lt;&gt;"",B130&lt;&gt;"",C130&lt;&gt;"",ISNUMBER(G130),ISNUMBER(K130),K130&lt;=G130,K130&gt;0,T130="낙찰",ISNUMBER(L130),L130&gt;0,ISNUMBER(U130),U130&gt;0,COUNTIFS(A$2:A$301,A130,B$2:B$301,B130,C$2:C$301,C130,G$2:G$301,G130)=1),"평가 가능","")</f>
        <v/>
      </c>
      <c r="X130" s="8">
        <f>IF(W130="평가 가능",(L130-U130)/U130,"")</f>
        <v/>
      </c>
      <c r="Y130" s="8">
        <f>IF(W130="평가 가능",ABS(X130),"")</f>
        <v/>
      </c>
      <c r="Z130" s="7">
        <f>IF(AND(ISNUMBER(M130),M130&gt;0,ISNUMBER(I130)),IF(M130&lt;I130,"최저가 미달",IF(M130=I130,"최저가 동액","최저가 초과")),"")</f>
        <v/>
      </c>
      <c r="AA130" s="7">
        <f>IF(AND(T130="낙찰",ISNUMBER(M130),M130&gt;0,ISNUMBER(U130)),IF(M130&lt;U130,"실제 낙찰가 미만",IF(M130=U130,"실제 낙찰가 동액","실제 낙찰가 초과")),"")</f>
        <v/>
      </c>
      <c r="AB130" s="7">
        <f>IF(AND(ISNUMBER(M130),M130&gt;0,ISNUMBER(R130)),IF(M130&lt;R130,"상한가 미만",IF(M130=R130,"상한가 동액","상한가 초과")),"")</f>
        <v/>
      </c>
      <c r="AC130" s="2" t="n"/>
      <c r="AD130" s="7">
        <f>IF(COUNTA(A130:Q130,S130:V130,AC130)=0,"",IF(OR(A130="",B130="",C130="",NOT(ISNUMBER(G130))),"식별값 확인",IF(COUNTIFS(A$2:A$301,A130,B$2:B$301,B130,C$2:C$301,C130,G$2:G$301,G130)&gt;1,"중복 회차",IF(AND(ISNUMBER(K130),K130&gt;G130),"기일 후 예측",IF(AND(T130="낙찰",W130=""),"평가 입력 확인","")))))</f>
        <v/>
      </c>
    </row>
    <row r="131">
      <c r="A131" s="3" t="n"/>
      <c r="B131" s="3" t="n"/>
      <c r="C131" s="3" t="n"/>
      <c r="D131" s="3" t="n"/>
      <c r="E131" s="3" t="n"/>
      <c r="F131" s="3" t="n"/>
      <c r="G131" s="9" t="n"/>
      <c r="H131" s="10" t="n"/>
      <c r="I131" s="10" t="n"/>
      <c r="J131" s="3" t="n"/>
      <c r="K131" s="9" t="n"/>
      <c r="L131" s="10" t="n"/>
      <c r="M131" s="10" t="n"/>
      <c r="N131" s="3" t="n"/>
      <c r="O131" s="10" t="n"/>
      <c r="P131" s="10" t="n"/>
      <c r="Q131" s="10" t="n"/>
      <c r="R131" s="6">
        <f>IF(COUNT(O131:Q131)=3,O131-P131-Q131,"")</f>
        <v/>
      </c>
      <c r="S131" s="3" t="n"/>
      <c r="T131" s="3" t="n"/>
      <c r="U131" s="10" t="n"/>
      <c r="V131" s="3" t="n"/>
      <c r="W131" s="7">
        <f>IF(AND(A131&lt;&gt;"",B131&lt;&gt;"",C131&lt;&gt;"",ISNUMBER(G131),ISNUMBER(K131),K131&lt;=G131,K131&gt;0,T131="낙찰",ISNUMBER(L131),L131&gt;0,ISNUMBER(U131),U131&gt;0,COUNTIFS(A$2:A$301,A131,B$2:B$301,B131,C$2:C$301,C131,G$2:G$301,G131)=1),"평가 가능","")</f>
        <v/>
      </c>
      <c r="X131" s="8">
        <f>IF(W131="평가 가능",(L131-U131)/U131,"")</f>
        <v/>
      </c>
      <c r="Y131" s="8">
        <f>IF(W131="평가 가능",ABS(X131),"")</f>
        <v/>
      </c>
      <c r="Z131" s="7">
        <f>IF(AND(ISNUMBER(M131),M131&gt;0,ISNUMBER(I131)),IF(M131&lt;I131,"최저가 미달",IF(M131=I131,"최저가 동액","최저가 초과")),"")</f>
        <v/>
      </c>
      <c r="AA131" s="7">
        <f>IF(AND(T131="낙찰",ISNUMBER(M131),M131&gt;0,ISNUMBER(U131)),IF(M131&lt;U131,"실제 낙찰가 미만",IF(M131=U131,"실제 낙찰가 동액","실제 낙찰가 초과")),"")</f>
        <v/>
      </c>
      <c r="AB131" s="7">
        <f>IF(AND(ISNUMBER(M131),M131&gt;0,ISNUMBER(R131)),IF(M131&lt;R131,"상한가 미만",IF(M131=R131,"상한가 동액","상한가 초과")),"")</f>
        <v/>
      </c>
      <c r="AC131" s="3" t="n"/>
      <c r="AD131" s="7">
        <f>IF(COUNTA(A131:Q131,S131:V131,AC131)=0,"",IF(OR(A131="",B131="",C131="",NOT(ISNUMBER(G131))),"식별값 확인",IF(COUNTIFS(A$2:A$301,A131,B$2:B$301,B131,C$2:C$301,C131,G$2:G$301,G131)&gt;1,"중복 회차",IF(AND(ISNUMBER(K131),K131&gt;G131),"기일 후 예측",IF(AND(T131="낙찰",W131=""),"평가 입력 확인","")))))</f>
        <v/>
      </c>
    </row>
    <row r="132">
      <c r="A132" s="2" t="n"/>
      <c r="B132" s="2" t="n"/>
      <c r="C132" s="2" t="n"/>
      <c r="D132" s="2" t="n"/>
      <c r="E132" s="2" t="n"/>
      <c r="F132" s="2" t="n"/>
      <c r="G132" s="4" t="n"/>
      <c r="H132" s="5" t="n"/>
      <c r="I132" s="5" t="n"/>
      <c r="J132" s="2" t="n"/>
      <c r="K132" s="4" t="n"/>
      <c r="L132" s="5" t="n"/>
      <c r="M132" s="5" t="n"/>
      <c r="N132" s="2" t="n"/>
      <c r="O132" s="5" t="n"/>
      <c r="P132" s="5" t="n"/>
      <c r="Q132" s="5" t="n"/>
      <c r="R132" s="6">
        <f>IF(COUNT(O132:Q132)=3,O132-P132-Q132,"")</f>
        <v/>
      </c>
      <c r="S132" s="2" t="n"/>
      <c r="T132" s="2" t="n"/>
      <c r="U132" s="5" t="n"/>
      <c r="V132" s="2" t="n"/>
      <c r="W132" s="7">
        <f>IF(AND(A132&lt;&gt;"",B132&lt;&gt;"",C132&lt;&gt;"",ISNUMBER(G132),ISNUMBER(K132),K132&lt;=G132,K132&gt;0,T132="낙찰",ISNUMBER(L132),L132&gt;0,ISNUMBER(U132),U132&gt;0,COUNTIFS(A$2:A$301,A132,B$2:B$301,B132,C$2:C$301,C132,G$2:G$301,G132)=1),"평가 가능","")</f>
        <v/>
      </c>
      <c r="X132" s="8">
        <f>IF(W132="평가 가능",(L132-U132)/U132,"")</f>
        <v/>
      </c>
      <c r="Y132" s="8">
        <f>IF(W132="평가 가능",ABS(X132),"")</f>
        <v/>
      </c>
      <c r="Z132" s="7">
        <f>IF(AND(ISNUMBER(M132),M132&gt;0,ISNUMBER(I132)),IF(M132&lt;I132,"최저가 미달",IF(M132=I132,"최저가 동액","최저가 초과")),"")</f>
        <v/>
      </c>
      <c r="AA132" s="7">
        <f>IF(AND(T132="낙찰",ISNUMBER(M132),M132&gt;0,ISNUMBER(U132)),IF(M132&lt;U132,"실제 낙찰가 미만",IF(M132=U132,"실제 낙찰가 동액","실제 낙찰가 초과")),"")</f>
        <v/>
      </c>
      <c r="AB132" s="7">
        <f>IF(AND(ISNUMBER(M132),M132&gt;0,ISNUMBER(R132)),IF(M132&lt;R132,"상한가 미만",IF(M132=R132,"상한가 동액","상한가 초과")),"")</f>
        <v/>
      </c>
      <c r="AC132" s="2" t="n"/>
      <c r="AD132" s="7">
        <f>IF(COUNTA(A132:Q132,S132:V132,AC132)=0,"",IF(OR(A132="",B132="",C132="",NOT(ISNUMBER(G132))),"식별값 확인",IF(COUNTIFS(A$2:A$301,A132,B$2:B$301,B132,C$2:C$301,C132,G$2:G$301,G132)&gt;1,"중복 회차",IF(AND(ISNUMBER(K132),K132&gt;G132),"기일 후 예측",IF(AND(T132="낙찰",W132=""),"평가 입력 확인","")))))</f>
        <v/>
      </c>
    </row>
    <row r="133">
      <c r="A133" s="3" t="n"/>
      <c r="B133" s="3" t="n"/>
      <c r="C133" s="3" t="n"/>
      <c r="D133" s="3" t="n"/>
      <c r="E133" s="3" t="n"/>
      <c r="F133" s="3" t="n"/>
      <c r="G133" s="9" t="n"/>
      <c r="H133" s="10" t="n"/>
      <c r="I133" s="10" t="n"/>
      <c r="J133" s="3" t="n"/>
      <c r="K133" s="9" t="n"/>
      <c r="L133" s="10" t="n"/>
      <c r="M133" s="10" t="n"/>
      <c r="N133" s="3" t="n"/>
      <c r="O133" s="10" t="n"/>
      <c r="P133" s="10" t="n"/>
      <c r="Q133" s="10" t="n"/>
      <c r="R133" s="6">
        <f>IF(COUNT(O133:Q133)=3,O133-P133-Q133,"")</f>
        <v/>
      </c>
      <c r="S133" s="3" t="n"/>
      <c r="T133" s="3" t="n"/>
      <c r="U133" s="10" t="n"/>
      <c r="V133" s="3" t="n"/>
      <c r="W133" s="7">
        <f>IF(AND(A133&lt;&gt;"",B133&lt;&gt;"",C133&lt;&gt;"",ISNUMBER(G133),ISNUMBER(K133),K133&lt;=G133,K133&gt;0,T133="낙찰",ISNUMBER(L133),L133&gt;0,ISNUMBER(U133),U133&gt;0,COUNTIFS(A$2:A$301,A133,B$2:B$301,B133,C$2:C$301,C133,G$2:G$301,G133)=1),"평가 가능","")</f>
        <v/>
      </c>
      <c r="X133" s="8">
        <f>IF(W133="평가 가능",(L133-U133)/U133,"")</f>
        <v/>
      </c>
      <c r="Y133" s="8">
        <f>IF(W133="평가 가능",ABS(X133),"")</f>
        <v/>
      </c>
      <c r="Z133" s="7">
        <f>IF(AND(ISNUMBER(M133),M133&gt;0,ISNUMBER(I133)),IF(M133&lt;I133,"최저가 미달",IF(M133=I133,"최저가 동액","최저가 초과")),"")</f>
        <v/>
      </c>
      <c r="AA133" s="7">
        <f>IF(AND(T133="낙찰",ISNUMBER(M133),M133&gt;0,ISNUMBER(U133)),IF(M133&lt;U133,"실제 낙찰가 미만",IF(M133=U133,"실제 낙찰가 동액","실제 낙찰가 초과")),"")</f>
        <v/>
      </c>
      <c r="AB133" s="7">
        <f>IF(AND(ISNUMBER(M133),M133&gt;0,ISNUMBER(R133)),IF(M133&lt;R133,"상한가 미만",IF(M133=R133,"상한가 동액","상한가 초과")),"")</f>
        <v/>
      </c>
      <c r="AC133" s="3" t="n"/>
      <c r="AD133" s="7">
        <f>IF(COUNTA(A133:Q133,S133:V133,AC133)=0,"",IF(OR(A133="",B133="",C133="",NOT(ISNUMBER(G133))),"식별값 확인",IF(COUNTIFS(A$2:A$301,A133,B$2:B$301,B133,C$2:C$301,C133,G$2:G$301,G133)&gt;1,"중복 회차",IF(AND(ISNUMBER(K133),K133&gt;G133),"기일 후 예측",IF(AND(T133="낙찰",W133=""),"평가 입력 확인","")))))</f>
        <v/>
      </c>
    </row>
    <row r="134">
      <c r="A134" s="2" t="n"/>
      <c r="B134" s="2" t="n"/>
      <c r="C134" s="2" t="n"/>
      <c r="D134" s="2" t="n"/>
      <c r="E134" s="2" t="n"/>
      <c r="F134" s="2" t="n"/>
      <c r="G134" s="4" t="n"/>
      <c r="H134" s="5" t="n"/>
      <c r="I134" s="5" t="n"/>
      <c r="J134" s="2" t="n"/>
      <c r="K134" s="4" t="n"/>
      <c r="L134" s="5" t="n"/>
      <c r="M134" s="5" t="n"/>
      <c r="N134" s="2" t="n"/>
      <c r="O134" s="5" t="n"/>
      <c r="P134" s="5" t="n"/>
      <c r="Q134" s="5" t="n"/>
      <c r="R134" s="6">
        <f>IF(COUNT(O134:Q134)=3,O134-P134-Q134,"")</f>
        <v/>
      </c>
      <c r="S134" s="2" t="n"/>
      <c r="T134" s="2" t="n"/>
      <c r="U134" s="5" t="n"/>
      <c r="V134" s="2" t="n"/>
      <c r="W134" s="7">
        <f>IF(AND(A134&lt;&gt;"",B134&lt;&gt;"",C134&lt;&gt;"",ISNUMBER(G134),ISNUMBER(K134),K134&lt;=G134,K134&gt;0,T134="낙찰",ISNUMBER(L134),L134&gt;0,ISNUMBER(U134),U134&gt;0,COUNTIFS(A$2:A$301,A134,B$2:B$301,B134,C$2:C$301,C134,G$2:G$301,G134)=1),"평가 가능","")</f>
        <v/>
      </c>
      <c r="X134" s="8">
        <f>IF(W134="평가 가능",(L134-U134)/U134,"")</f>
        <v/>
      </c>
      <c r="Y134" s="8">
        <f>IF(W134="평가 가능",ABS(X134),"")</f>
        <v/>
      </c>
      <c r="Z134" s="7">
        <f>IF(AND(ISNUMBER(M134),M134&gt;0,ISNUMBER(I134)),IF(M134&lt;I134,"최저가 미달",IF(M134=I134,"최저가 동액","최저가 초과")),"")</f>
        <v/>
      </c>
      <c r="AA134" s="7">
        <f>IF(AND(T134="낙찰",ISNUMBER(M134),M134&gt;0,ISNUMBER(U134)),IF(M134&lt;U134,"실제 낙찰가 미만",IF(M134=U134,"실제 낙찰가 동액","실제 낙찰가 초과")),"")</f>
        <v/>
      </c>
      <c r="AB134" s="7">
        <f>IF(AND(ISNUMBER(M134),M134&gt;0,ISNUMBER(R134)),IF(M134&lt;R134,"상한가 미만",IF(M134=R134,"상한가 동액","상한가 초과")),"")</f>
        <v/>
      </c>
      <c r="AC134" s="2" t="n"/>
      <c r="AD134" s="7">
        <f>IF(COUNTA(A134:Q134,S134:V134,AC134)=0,"",IF(OR(A134="",B134="",C134="",NOT(ISNUMBER(G134))),"식별값 확인",IF(COUNTIFS(A$2:A$301,A134,B$2:B$301,B134,C$2:C$301,C134,G$2:G$301,G134)&gt;1,"중복 회차",IF(AND(ISNUMBER(K134),K134&gt;G134),"기일 후 예측",IF(AND(T134="낙찰",W134=""),"평가 입력 확인","")))))</f>
        <v/>
      </c>
    </row>
    <row r="135">
      <c r="A135" s="3" t="n"/>
      <c r="B135" s="3" t="n"/>
      <c r="C135" s="3" t="n"/>
      <c r="D135" s="3" t="n"/>
      <c r="E135" s="3" t="n"/>
      <c r="F135" s="3" t="n"/>
      <c r="G135" s="9" t="n"/>
      <c r="H135" s="10" t="n"/>
      <c r="I135" s="10" t="n"/>
      <c r="J135" s="3" t="n"/>
      <c r="K135" s="9" t="n"/>
      <c r="L135" s="10" t="n"/>
      <c r="M135" s="10" t="n"/>
      <c r="N135" s="3" t="n"/>
      <c r="O135" s="10" t="n"/>
      <c r="P135" s="10" t="n"/>
      <c r="Q135" s="10" t="n"/>
      <c r="R135" s="6">
        <f>IF(COUNT(O135:Q135)=3,O135-P135-Q135,"")</f>
        <v/>
      </c>
      <c r="S135" s="3" t="n"/>
      <c r="T135" s="3" t="n"/>
      <c r="U135" s="10" t="n"/>
      <c r="V135" s="3" t="n"/>
      <c r="W135" s="7">
        <f>IF(AND(A135&lt;&gt;"",B135&lt;&gt;"",C135&lt;&gt;"",ISNUMBER(G135),ISNUMBER(K135),K135&lt;=G135,K135&gt;0,T135="낙찰",ISNUMBER(L135),L135&gt;0,ISNUMBER(U135),U135&gt;0,COUNTIFS(A$2:A$301,A135,B$2:B$301,B135,C$2:C$301,C135,G$2:G$301,G135)=1),"평가 가능","")</f>
        <v/>
      </c>
      <c r="X135" s="8">
        <f>IF(W135="평가 가능",(L135-U135)/U135,"")</f>
        <v/>
      </c>
      <c r="Y135" s="8">
        <f>IF(W135="평가 가능",ABS(X135),"")</f>
        <v/>
      </c>
      <c r="Z135" s="7">
        <f>IF(AND(ISNUMBER(M135),M135&gt;0,ISNUMBER(I135)),IF(M135&lt;I135,"최저가 미달",IF(M135=I135,"최저가 동액","최저가 초과")),"")</f>
        <v/>
      </c>
      <c r="AA135" s="7">
        <f>IF(AND(T135="낙찰",ISNUMBER(M135),M135&gt;0,ISNUMBER(U135)),IF(M135&lt;U135,"실제 낙찰가 미만",IF(M135=U135,"실제 낙찰가 동액","실제 낙찰가 초과")),"")</f>
        <v/>
      </c>
      <c r="AB135" s="7">
        <f>IF(AND(ISNUMBER(M135),M135&gt;0,ISNUMBER(R135)),IF(M135&lt;R135,"상한가 미만",IF(M135=R135,"상한가 동액","상한가 초과")),"")</f>
        <v/>
      </c>
      <c r="AC135" s="3" t="n"/>
      <c r="AD135" s="7">
        <f>IF(COUNTA(A135:Q135,S135:V135,AC135)=0,"",IF(OR(A135="",B135="",C135="",NOT(ISNUMBER(G135))),"식별값 확인",IF(COUNTIFS(A$2:A$301,A135,B$2:B$301,B135,C$2:C$301,C135,G$2:G$301,G135)&gt;1,"중복 회차",IF(AND(ISNUMBER(K135),K135&gt;G135),"기일 후 예측",IF(AND(T135="낙찰",W135=""),"평가 입력 확인","")))))</f>
        <v/>
      </c>
    </row>
    <row r="136">
      <c r="A136" s="2" t="n"/>
      <c r="B136" s="2" t="n"/>
      <c r="C136" s="2" t="n"/>
      <c r="D136" s="2" t="n"/>
      <c r="E136" s="2" t="n"/>
      <c r="F136" s="2" t="n"/>
      <c r="G136" s="4" t="n"/>
      <c r="H136" s="5" t="n"/>
      <c r="I136" s="5" t="n"/>
      <c r="J136" s="2" t="n"/>
      <c r="K136" s="4" t="n"/>
      <c r="L136" s="5" t="n"/>
      <c r="M136" s="5" t="n"/>
      <c r="N136" s="2" t="n"/>
      <c r="O136" s="5" t="n"/>
      <c r="P136" s="5" t="n"/>
      <c r="Q136" s="5" t="n"/>
      <c r="R136" s="6">
        <f>IF(COUNT(O136:Q136)=3,O136-P136-Q136,"")</f>
        <v/>
      </c>
      <c r="S136" s="2" t="n"/>
      <c r="T136" s="2" t="n"/>
      <c r="U136" s="5" t="n"/>
      <c r="V136" s="2" t="n"/>
      <c r="W136" s="7">
        <f>IF(AND(A136&lt;&gt;"",B136&lt;&gt;"",C136&lt;&gt;"",ISNUMBER(G136),ISNUMBER(K136),K136&lt;=G136,K136&gt;0,T136="낙찰",ISNUMBER(L136),L136&gt;0,ISNUMBER(U136),U136&gt;0,COUNTIFS(A$2:A$301,A136,B$2:B$301,B136,C$2:C$301,C136,G$2:G$301,G136)=1),"평가 가능","")</f>
        <v/>
      </c>
      <c r="X136" s="8">
        <f>IF(W136="평가 가능",(L136-U136)/U136,"")</f>
        <v/>
      </c>
      <c r="Y136" s="8">
        <f>IF(W136="평가 가능",ABS(X136),"")</f>
        <v/>
      </c>
      <c r="Z136" s="7">
        <f>IF(AND(ISNUMBER(M136),M136&gt;0,ISNUMBER(I136)),IF(M136&lt;I136,"최저가 미달",IF(M136=I136,"최저가 동액","최저가 초과")),"")</f>
        <v/>
      </c>
      <c r="AA136" s="7">
        <f>IF(AND(T136="낙찰",ISNUMBER(M136),M136&gt;0,ISNUMBER(U136)),IF(M136&lt;U136,"실제 낙찰가 미만",IF(M136=U136,"실제 낙찰가 동액","실제 낙찰가 초과")),"")</f>
        <v/>
      </c>
      <c r="AB136" s="7">
        <f>IF(AND(ISNUMBER(M136),M136&gt;0,ISNUMBER(R136)),IF(M136&lt;R136,"상한가 미만",IF(M136=R136,"상한가 동액","상한가 초과")),"")</f>
        <v/>
      </c>
      <c r="AC136" s="2" t="n"/>
      <c r="AD136" s="7">
        <f>IF(COUNTA(A136:Q136,S136:V136,AC136)=0,"",IF(OR(A136="",B136="",C136="",NOT(ISNUMBER(G136))),"식별값 확인",IF(COUNTIFS(A$2:A$301,A136,B$2:B$301,B136,C$2:C$301,C136,G$2:G$301,G136)&gt;1,"중복 회차",IF(AND(ISNUMBER(K136),K136&gt;G136),"기일 후 예측",IF(AND(T136="낙찰",W136=""),"평가 입력 확인","")))))</f>
        <v/>
      </c>
    </row>
    <row r="137">
      <c r="A137" s="3" t="n"/>
      <c r="B137" s="3" t="n"/>
      <c r="C137" s="3" t="n"/>
      <c r="D137" s="3" t="n"/>
      <c r="E137" s="3" t="n"/>
      <c r="F137" s="3" t="n"/>
      <c r="G137" s="9" t="n"/>
      <c r="H137" s="10" t="n"/>
      <c r="I137" s="10" t="n"/>
      <c r="J137" s="3" t="n"/>
      <c r="K137" s="9" t="n"/>
      <c r="L137" s="10" t="n"/>
      <c r="M137" s="10" t="n"/>
      <c r="N137" s="3" t="n"/>
      <c r="O137" s="10" t="n"/>
      <c r="P137" s="10" t="n"/>
      <c r="Q137" s="10" t="n"/>
      <c r="R137" s="6">
        <f>IF(COUNT(O137:Q137)=3,O137-P137-Q137,"")</f>
        <v/>
      </c>
      <c r="S137" s="3" t="n"/>
      <c r="T137" s="3" t="n"/>
      <c r="U137" s="10" t="n"/>
      <c r="V137" s="3" t="n"/>
      <c r="W137" s="7">
        <f>IF(AND(A137&lt;&gt;"",B137&lt;&gt;"",C137&lt;&gt;"",ISNUMBER(G137),ISNUMBER(K137),K137&lt;=G137,K137&gt;0,T137="낙찰",ISNUMBER(L137),L137&gt;0,ISNUMBER(U137),U137&gt;0,COUNTIFS(A$2:A$301,A137,B$2:B$301,B137,C$2:C$301,C137,G$2:G$301,G137)=1),"평가 가능","")</f>
        <v/>
      </c>
      <c r="X137" s="8">
        <f>IF(W137="평가 가능",(L137-U137)/U137,"")</f>
        <v/>
      </c>
      <c r="Y137" s="8">
        <f>IF(W137="평가 가능",ABS(X137),"")</f>
        <v/>
      </c>
      <c r="Z137" s="7">
        <f>IF(AND(ISNUMBER(M137),M137&gt;0,ISNUMBER(I137)),IF(M137&lt;I137,"최저가 미달",IF(M137=I137,"최저가 동액","최저가 초과")),"")</f>
        <v/>
      </c>
      <c r="AA137" s="7">
        <f>IF(AND(T137="낙찰",ISNUMBER(M137),M137&gt;0,ISNUMBER(U137)),IF(M137&lt;U137,"실제 낙찰가 미만",IF(M137=U137,"실제 낙찰가 동액","실제 낙찰가 초과")),"")</f>
        <v/>
      </c>
      <c r="AB137" s="7">
        <f>IF(AND(ISNUMBER(M137),M137&gt;0,ISNUMBER(R137)),IF(M137&lt;R137,"상한가 미만",IF(M137=R137,"상한가 동액","상한가 초과")),"")</f>
        <v/>
      </c>
      <c r="AC137" s="3" t="n"/>
      <c r="AD137" s="7">
        <f>IF(COUNTA(A137:Q137,S137:V137,AC137)=0,"",IF(OR(A137="",B137="",C137="",NOT(ISNUMBER(G137))),"식별값 확인",IF(COUNTIFS(A$2:A$301,A137,B$2:B$301,B137,C$2:C$301,C137,G$2:G$301,G137)&gt;1,"중복 회차",IF(AND(ISNUMBER(K137),K137&gt;G137),"기일 후 예측",IF(AND(T137="낙찰",W137=""),"평가 입력 확인","")))))</f>
        <v/>
      </c>
    </row>
    <row r="138">
      <c r="A138" s="2" t="n"/>
      <c r="B138" s="2" t="n"/>
      <c r="C138" s="2" t="n"/>
      <c r="D138" s="2" t="n"/>
      <c r="E138" s="2" t="n"/>
      <c r="F138" s="2" t="n"/>
      <c r="G138" s="4" t="n"/>
      <c r="H138" s="5" t="n"/>
      <c r="I138" s="5" t="n"/>
      <c r="J138" s="2" t="n"/>
      <c r="K138" s="4" t="n"/>
      <c r="L138" s="5" t="n"/>
      <c r="M138" s="5" t="n"/>
      <c r="N138" s="2" t="n"/>
      <c r="O138" s="5" t="n"/>
      <c r="P138" s="5" t="n"/>
      <c r="Q138" s="5" t="n"/>
      <c r="R138" s="6">
        <f>IF(COUNT(O138:Q138)=3,O138-P138-Q138,"")</f>
        <v/>
      </c>
      <c r="S138" s="2" t="n"/>
      <c r="T138" s="2" t="n"/>
      <c r="U138" s="5" t="n"/>
      <c r="V138" s="2" t="n"/>
      <c r="W138" s="7">
        <f>IF(AND(A138&lt;&gt;"",B138&lt;&gt;"",C138&lt;&gt;"",ISNUMBER(G138),ISNUMBER(K138),K138&lt;=G138,K138&gt;0,T138="낙찰",ISNUMBER(L138),L138&gt;0,ISNUMBER(U138),U138&gt;0,COUNTIFS(A$2:A$301,A138,B$2:B$301,B138,C$2:C$301,C138,G$2:G$301,G138)=1),"평가 가능","")</f>
        <v/>
      </c>
      <c r="X138" s="8">
        <f>IF(W138="평가 가능",(L138-U138)/U138,"")</f>
        <v/>
      </c>
      <c r="Y138" s="8">
        <f>IF(W138="평가 가능",ABS(X138),"")</f>
        <v/>
      </c>
      <c r="Z138" s="7">
        <f>IF(AND(ISNUMBER(M138),M138&gt;0,ISNUMBER(I138)),IF(M138&lt;I138,"최저가 미달",IF(M138=I138,"최저가 동액","최저가 초과")),"")</f>
        <v/>
      </c>
      <c r="AA138" s="7">
        <f>IF(AND(T138="낙찰",ISNUMBER(M138),M138&gt;0,ISNUMBER(U138)),IF(M138&lt;U138,"실제 낙찰가 미만",IF(M138=U138,"실제 낙찰가 동액","실제 낙찰가 초과")),"")</f>
        <v/>
      </c>
      <c r="AB138" s="7">
        <f>IF(AND(ISNUMBER(M138),M138&gt;0,ISNUMBER(R138)),IF(M138&lt;R138,"상한가 미만",IF(M138=R138,"상한가 동액","상한가 초과")),"")</f>
        <v/>
      </c>
      <c r="AC138" s="2" t="n"/>
      <c r="AD138" s="7">
        <f>IF(COUNTA(A138:Q138,S138:V138,AC138)=0,"",IF(OR(A138="",B138="",C138="",NOT(ISNUMBER(G138))),"식별값 확인",IF(COUNTIFS(A$2:A$301,A138,B$2:B$301,B138,C$2:C$301,C138,G$2:G$301,G138)&gt;1,"중복 회차",IF(AND(ISNUMBER(K138),K138&gt;G138),"기일 후 예측",IF(AND(T138="낙찰",W138=""),"평가 입력 확인","")))))</f>
        <v/>
      </c>
    </row>
    <row r="139">
      <c r="A139" s="3" t="n"/>
      <c r="B139" s="3" t="n"/>
      <c r="C139" s="3" t="n"/>
      <c r="D139" s="3" t="n"/>
      <c r="E139" s="3" t="n"/>
      <c r="F139" s="3" t="n"/>
      <c r="G139" s="9" t="n"/>
      <c r="H139" s="10" t="n"/>
      <c r="I139" s="10" t="n"/>
      <c r="J139" s="3" t="n"/>
      <c r="K139" s="9" t="n"/>
      <c r="L139" s="10" t="n"/>
      <c r="M139" s="10" t="n"/>
      <c r="N139" s="3" t="n"/>
      <c r="O139" s="10" t="n"/>
      <c r="P139" s="10" t="n"/>
      <c r="Q139" s="10" t="n"/>
      <c r="R139" s="6">
        <f>IF(COUNT(O139:Q139)=3,O139-P139-Q139,"")</f>
        <v/>
      </c>
      <c r="S139" s="3" t="n"/>
      <c r="T139" s="3" t="n"/>
      <c r="U139" s="10" t="n"/>
      <c r="V139" s="3" t="n"/>
      <c r="W139" s="7">
        <f>IF(AND(A139&lt;&gt;"",B139&lt;&gt;"",C139&lt;&gt;"",ISNUMBER(G139),ISNUMBER(K139),K139&lt;=G139,K139&gt;0,T139="낙찰",ISNUMBER(L139),L139&gt;0,ISNUMBER(U139),U139&gt;0,COUNTIFS(A$2:A$301,A139,B$2:B$301,B139,C$2:C$301,C139,G$2:G$301,G139)=1),"평가 가능","")</f>
        <v/>
      </c>
      <c r="X139" s="8">
        <f>IF(W139="평가 가능",(L139-U139)/U139,"")</f>
        <v/>
      </c>
      <c r="Y139" s="8">
        <f>IF(W139="평가 가능",ABS(X139),"")</f>
        <v/>
      </c>
      <c r="Z139" s="7">
        <f>IF(AND(ISNUMBER(M139),M139&gt;0,ISNUMBER(I139)),IF(M139&lt;I139,"최저가 미달",IF(M139=I139,"최저가 동액","최저가 초과")),"")</f>
        <v/>
      </c>
      <c r="AA139" s="7">
        <f>IF(AND(T139="낙찰",ISNUMBER(M139),M139&gt;0,ISNUMBER(U139)),IF(M139&lt;U139,"실제 낙찰가 미만",IF(M139=U139,"실제 낙찰가 동액","실제 낙찰가 초과")),"")</f>
        <v/>
      </c>
      <c r="AB139" s="7">
        <f>IF(AND(ISNUMBER(M139),M139&gt;0,ISNUMBER(R139)),IF(M139&lt;R139,"상한가 미만",IF(M139=R139,"상한가 동액","상한가 초과")),"")</f>
        <v/>
      </c>
      <c r="AC139" s="3" t="n"/>
      <c r="AD139" s="7">
        <f>IF(COUNTA(A139:Q139,S139:V139,AC139)=0,"",IF(OR(A139="",B139="",C139="",NOT(ISNUMBER(G139))),"식별값 확인",IF(COUNTIFS(A$2:A$301,A139,B$2:B$301,B139,C$2:C$301,C139,G$2:G$301,G139)&gt;1,"중복 회차",IF(AND(ISNUMBER(K139),K139&gt;G139),"기일 후 예측",IF(AND(T139="낙찰",W139=""),"평가 입력 확인","")))))</f>
        <v/>
      </c>
    </row>
    <row r="140">
      <c r="A140" s="2" t="n"/>
      <c r="B140" s="2" t="n"/>
      <c r="C140" s="2" t="n"/>
      <c r="D140" s="2" t="n"/>
      <c r="E140" s="2" t="n"/>
      <c r="F140" s="2" t="n"/>
      <c r="G140" s="4" t="n"/>
      <c r="H140" s="5" t="n"/>
      <c r="I140" s="5" t="n"/>
      <c r="J140" s="2" t="n"/>
      <c r="K140" s="4" t="n"/>
      <c r="L140" s="5" t="n"/>
      <c r="M140" s="5" t="n"/>
      <c r="N140" s="2" t="n"/>
      <c r="O140" s="5" t="n"/>
      <c r="P140" s="5" t="n"/>
      <c r="Q140" s="5" t="n"/>
      <c r="R140" s="6">
        <f>IF(COUNT(O140:Q140)=3,O140-P140-Q140,"")</f>
        <v/>
      </c>
      <c r="S140" s="2" t="n"/>
      <c r="T140" s="2" t="n"/>
      <c r="U140" s="5" t="n"/>
      <c r="V140" s="2" t="n"/>
      <c r="W140" s="7">
        <f>IF(AND(A140&lt;&gt;"",B140&lt;&gt;"",C140&lt;&gt;"",ISNUMBER(G140),ISNUMBER(K140),K140&lt;=G140,K140&gt;0,T140="낙찰",ISNUMBER(L140),L140&gt;0,ISNUMBER(U140),U140&gt;0,COUNTIFS(A$2:A$301,A140,B$2:B$301,B140,C$2:C$301,C140,G$2:G$301,G140)=1),"평가 가능","")</f>
        <v/>
      </c>
      <c r="X140" s="8">
        <f>IF(W140="평가 가능",(L140-U140)/U140,"")</f>
        <v/>
      </c>
      <c r="Y140" s="8">
        <f>IF(W140="평가 가능",ABS(X140),"")</f>
        <v/>
      </c>
      <c r="Z140" s="7">
        <f>IF(AND(ISNUMBER(M140),M140&gt;0,ISNUMBER(I140)),IF(M140&lt;I140,"최저가 미달",IF(M140=I140,"최저가 동액","최저가 초과")),"")</f>
        <v/>
      </c>
      <c r="AA140" s="7">
        <f>IF(AND(T140="낙찰",ISNUMBER(M140),M140&gt;0,ISNUMBER(U140)),IF(M140&lt;U140,"실제 낙찰가 미만",IF(M140=U140,"실제 낙찰가 동액","실제 낙찰가 초과")),"")</f>
        <v/>
      </c>
      <c r="AB140" s="7">
        <f>IF(AND(ISNUMBER(M140),M140&gt;0,ISNUMBER(R140)),IF(M140&lt;R140,"상한가 미만",IF(M140=R140,"상한가 동액","상한가 초과")),"")</f>
        <v/>
      </c>
      <c r="AC140" s="2" t="n"/>
      <c r="AD140" s="7">
        <f>IF(COUNTA(A140:Q140,S140:V140,AC140)=0,"",IF(OR(A140="",B140="",C140="",NOT(ISNUMBER(G140))),"식별값 확인",IF(COUNTIFS(A$2:A$301,A140,B$2:B$301,B140,C$2:C$301,C140,G$2:G$301,G140)&gt;1,"중복 회차",IF(AND(ISNUMBER(K140),K140&gt;G140),"기일 후 예측",IF(AND(T140="낙찰",W140=""),"평가 입력 확인","")))))</f>
        <v/>
      </c>
    </row>
    <row r="141">
      <c r="A141" s="3" t="n"/>
      <c r="B141" s="3" t="n"/>
      <c r="C141" s="3" t="n"/>
      <c r="D141" s="3" t="n"/>
      <c r="E141" s="3" t="n"/>
      <c r="F141" s="3" t="n"/>
      <c r="G141" s="9" t="n"/>
      <c r="H141" s="10" t="n"/>
      <c r="I141" s="10" t="n"/>
      <c r="J141" s="3" t="n"/>
      <c r="K141" s="9" t="n"/>
      <c r="L141" s="10" t="n"/>
      <c r="M141" s="10" t="n"/>
      <c r="N141" s="3" t="n"/>
      <c r="O141" s="10" t="n"/>
      <c r="P141" s="10" t="n"/>
      <c r="Q141" s="10" t="n"/>
      <c r="R141" s="6">
        <f>IF(COUNT(O141:Q141)=3,O141-P141-Q141,"")</f>
        <v/>
      </c>
      <c r="S141" s="3" t="n"/>
      <c r="T141" s="3" t="n"/>
      <c r="U141" s="10" t="n"/>
      <c r="V141" s="3" t="n"/>
      <c r="W141" s="7">
        <f>IF(AND(A141&lt;&gt;"",B141&lt;&gt;"",C141&lt;&gt;"",ISNUMBER(G141),ISNUMBER(K141),K141&lt;=G141,K141&gt;0,T141="낙찰",ISNUMBER(L141),L141&gt;0,ISNUMBER(U141),U141&gt;0,COUNTIFS(A$2:A$301,A141,B$2:B$301,B141,C$2:C$301,C141,G$2:G$301,G141)=1),"평가 가능","")</f>
        <v/>
      </c>
      <c r="X141" s="8">
        <f>IF(W141="평가 가능",(L141-U141)/U141,"")</f>
        <v/>
      </c>
      <c r="Y141" s="8">
        <f>IF(W141="평가 가능",ABS(X141),"")</f>
        <v/>
      </c>
      <c r="Z141" s="7">
        <f>IF(AND(ISNUMBER(M141),M141&gt;0,ISNUMBER(I141)),IF(M141&lt;I141,"최저가 미달",IF(M141=I141,"최저가 동액","최저가 초과")),"")</f>
        <v/>
      </c>
      <c r="AA141" s="7">
        <f>IF(AND(T141="낙찰",ISNUMBER(M141),M141&gt;0,ISNUMBER(U141)),IF(M141&lt;U141,"실제 낙찰가 미만",IF(M141=U141,"실제 낙찰가 동액","실제 낙찰가 초과")),"")</f>
        <v/>
      </c>
      <c r="AB141" s="7">
        <f>IF(AND(ISNUMBER(M141),M141&gt;0,ISNUMBER(R141)),IF(M141&lt;R141,"상한가 미만",IF(M141=R141,"상한가 동액","상한가 초과")),"")</f>
        <v/>
      </c>
      <c r="AC141" s="3" t="n"/>
      <c r="AD141" s="7">
        <f>IF(COUNTA(A141:Q141,S141:V141,AC141)=0,"",IF(OR(A141="",B141="",C141="",NOT(ISNUMBER(G141))),"식별값 확인",IF(COUNTIFS(A$2:A$301,A141,B$2:B$301,B141,C$2:C$301,C141,G$2:G$301,G141)&gt;1,"중복 회차",IF(AND(ISNUMBER(K141),K141&gt;G141),"기일 후 예측",IF(AND(T141="낙찰",W141=""),"평가 입력 확인","")))))</f>
        <v/>
      </c>
    </row>
    <row r="142">
      <c r="A142" s="2" t="n"/>
      <c r="B142" s="2" t="n"/>
      <c r="C142" s="2" t="n"/>
      <c r="D142" s="2" t="n"/>
      <c r="E142" s="2" t="n"/>
      <c r="F142" s="2" t="n"/>
      <c r="G142" s="4" t="n"/>
      <c r="H142" s="5" t="n"/>
      <c r="I142" s="5" t="n"/>
      <c r="J142" s="2" t="n"/>
      <c r="K142" s="4" t="n"/>
      <c r="L142" s="5" t="n"/>
      <c r="M142" s="5" t="n"/>
      <c r="N142" s="2" t="n"/>
      <c r="O142" s="5" t="n"/>
      <c r="P142" s="5" t="n"/>
      <c r="Q142" s="5" t="n"/>
      <c r="R142" s="6">
        <f>IF(COUNT(O142:Q142)=3,O142-P142-Q142,"")</f>
        <v/>
      </c>
      <c r="S142" s="2" t="n"/>
      <c r="T142" s="2" t="n"/>
      <c r="U142" s="5" t="n"/>
      <c r="V142" s="2" t="n"/>
      <c r="W142" s="7">
        <f>IF(AND(A142&lt;&gt;"",B142&lt;&gt;"",C142&lt;&gt;"",ISNUMBER(G142),ISNUMBER(K142),K142&lt;=G142,K142&gt;0,T142="낙찰",ISNUMBER(L142),L142&gt;0,ISNUMBER(U142),U142&gt;0,COUNTIFS(A$2:A$301,A142,B$2:B$301,B142,C$2:C$301,C142,G$2:G$301,G142)=1),"평가 가능","")</f>
        <v/>
      </c>
      <c r="X142" s="8">
        <f>IF(W142="평가 가능",(L142-U142)/U142,"")</f>
        <v/>
      </c>
      <c r="Y142" s="8">
        <f>IF(W142="평가 가능",ABS(X142),"")</f>
        <v/>
      </c>
      <c r="Z142" s="7">
        <f>IF(AND(ISNUMBER(M142),M142&gt;0,ISNUMBER(I142)),IF(M142&lt;I142,"최저가 미달",IF(M142=I142,"최저가 동액","최저가 초과")),"")</f>
        <v/>
      </c>
      <c r="AA142" s="7">
        <f>IF(AND(T142="낙찰",ISNUMBER(M142),M142&gt;0,ISNUMBER(U142)),IF(M142&lt;U142,"실제 낙찰가 미만",IF(M142=U142,"실제 낙찰가 동액","실제 낙찰가 초과")),"")</f>
        <v/>
      </c>
      <c r="AB142" s="7">
        <f>IF(AND(ISNUMBER(M142),M142&gt;0,ISNUMBER(R142)),IF(M142&lt;R142,"상한가 미만",IF(M142=R142,"상한가 동액","상한가 초과")),"")</f>
        <v/>
      </c>
      <c r="AC142" s="2" t="n"/>
      <c r="AD142" s="7">
        <f>IF(COUNTA(A142:Q142,S142:V142,AC142)=0,"",IF(OR(A142="",B142="",C142="",NOT(ISNUMBER(G142))),"식별값 확인",IF(COUNTIFS(A$2:A$301,A142,B$2:B$301,B142,C$2:C$301,C142,G$2:G$301,G142)&gt;1,"중복 회차",IF(AND(ISNUMBER(K142),K142&gt;G142),"기일 후 예측",IF(AND(T142="낙찰",W142=""),"평가 입력 확인","")))))</f>
        <v/>
      </c>
    </row>
    <row r="143">
      <c r="A143" s="3" t="n"/>
      <c r="B143" s="3" t="n"/>
      <c r="C143" s="3" t="n"/>
      <c r="D143" s="3" t="n"/>
      <c r="E143" s="3" t="n"/>
      <c r="F143" s="3" t="n"/>
      <c r="G143" s="9" t="n"/>
      <c r="H143" s="10" t="n"/>
      <c r="I143" s="10" t="n"/>
      <c r="J143" s="3" t="n"/>
      <c r="K143" s="9" t="n"/>
      <c r="L143" s="10" t="n"/>
      <c r="M143" s="10" t="n"/>
      <c r="N143" s="3" t="n"/>
      <c r="O143" s="10" t="n"/>
      <c r="P143" s="10" t="n"/>
      <c r="Q143" s="10" t="n"/>
      <c r="R143" s="6">
        <f>IF(COUNT(O143:Q143)=3,O143-P143-Q143,"")</f>
        <v/>
      </c>
      <c r="S143" s="3" t="n"/>
      <c r="T143" s="3" t="n"/>
      <c r="U143" s="10" t="n"/>
      <c r="V143" s="3" t="n"/>
      <c r="W143" s="7">
        <f>IF(AND(A143&lt;&gt;"",B143&lt;&gt;"",C143&lt;&gt;"",ISNUMBER(G143),ISNUMBER(K143),K143&lt;=G143,K143&gt;0,T143="낙찰",ISNUMBER(L143),L143&gt;0,ISNUMBER(U143),U143&gt;0,COUNTIFS(A$2:A$301,A143,B$2:B$301,B143,C$2:C$301,C143,G$2:G$301,G143)=1),"평가 가능","")</f>
        <v/>
      </c>
      <c r="X143" s="8">
        <f>IF(W143="평가 가능",(L143-U143)/U143,"")</f>
        <v/>
      </c>
      <c r="Y143" s="8">
        <f>IF(W143="평가 가능",ABS(X143),"")</f>
        <v/>
      </c>
      <c r="Z143" s="7">
        <f>IF(AND(ISNUMBER(M143),M143&gt;0,ISNUMBER(I143)),IF(M143&lt;I143,"최저가 미달",IF(M143=I143,"최저가 동액","최저가 초과")),"")</f>
        <v/>
      </c>
      <c r="AA143" s="7">
        <f>IF(AND(T143="낙찰",ISNUMBER(M143),M143&gt;0,ISNUMBER(U143)),IF(M143&lt;U143,"실제 낙찰가 미만",IF(M143=U143,"실제 낙찰가 동액","실제 낙찰가 초과")),"")</f>
        <v/>
      </c>
      <c r="AB143" s="7">
        <f>IF(AND(ISNUMBER(M143),M143&gt;0,ISNUMBER(R143)),IF(M143&lt;R143,"상한가 미만",IF(M143=R143,"상한가 동액","상한가 초과")),"")</f>
        <v/>
      </c>
      <c r="AC143" s="3" t="n"/>
      <c r="AD143" s="7">
        <f>IF(COUNTA(A143:Q143,S143:V143,AC143)=0,"",IF(OR(A143="",B143="",C143="",NOT(ISNUMBER(G143))),"식별값 확인",IF(COUNTIFS(A$2:A$301,A143,B$2:B$301,B143,C$2:C$301,C143,G$2:G$301,G143)&gt;1,"중복 회차",IF(AND(ISNUMBER(K143),K143&gt;G143),"기일 후 예측",IF(AND(T143="낙찰",W143=""),"평가 입력 확인","")))))</f>
        <v/>
      </c>
    </row>
    <row r="144">
      <c r="A144" s="2" t="n"/>
      <c r="B144" s="2" t="n"/>
      <c r="C144" s="2" t="n"/>
      <c r="D144" s="2" t="n"/>
      <c r="E144" s="2" t="n"/>
      <c r="F144" s="2" t="n"/>
      <c r="G144" s="4" t="n"/>
      <c r="H144" s="5" t="n"/>
      <c r="I144" s="5" t="n"/>
      <c r="J144" s="2" t="n"/>
      <c r="K144" s="4" t="n"/>
      <c r="L144" s="5" t="n"/>
      <c r="M144" s="5" t="n"/>
      <c r="N144" s="2" t="n"/>
      <c r="O144" s="5" t="n"/>
      <c r="P144" s="5" t="n"/>
      <c r="Q144" s="5" t="n"/>
      <c r="R144" s="6">
        <f>IF(COUNT(O144:Q144)=3,O144-P144-Q144,"")</f>
        <v/>
      </c>
      <c r="S144" s="2" t="n"/>
      <c r="T144" s="2" t="n"/>
      <c r="U144" s="5" t="n"/>
      <c r="V144" s="2" t="n"/>
      <c r="W144" s="7">
        <f>IF(AND(A144&lt;&gt;"",B144&lt;&gt;"",C144&lt;&gt;"",ISNUMBER(G144),ISNUMBER(K144),K144&lt;=G144,K144&gt;0,T144="낙찰",ISNUMBER(L144),L144&gt;0,ISNUMBER(U144),U144&gt;0,COUNTIFS(A$2:A$301,A144,B$2:B$301,B144,C$2:C$301,C144,G$2:G$301,G144)=1),"평가 가능","")</f>
        <v/>
      </c>
      <c r="X144" s="8">
        <f>IF(W144="평가 가능",(L144-U144)/U144,"")</f>
        <v/>
      </c>
      <c r="Y144" s="8">
        <f>IF(W144="평가 가능",ABS(X144),"")</f>
        <v/>
      </c>
      <c r="Z144" s="7">
        <f>IF(AND(ISNUMBER(M144),M144&gt;0,ISNUMBER(I144)),IF(M144&lt;I144,"최저가 미달",IF(M144=I144,"최저가 동액","최저가 초과")),"")</f>
        <v/>
      </c>
      <c r="AA144" s="7">
        <f>IF(AND(T144="낙찰",ISNUMBER(M144),M144&gt;0,ISNUMBER(U144)),IF(M144&lt;U144,"실제 낙찰가 미만",IF(M144=U144,"실제 낙찰가 동액","실제 낙찰가 초과")),"")</f>
        <v/>
      </c>
      <c r="AB144" s="7">
        <f>IF(AND(ISNUMBER(M144),M144&gt;0,ISNUMBER(R144)),IF(M144&lt;R144,"상한가 미만",IF(M144=R144,"상한가 동액","상한가 초과")),"")</f>
        <v/>
      </c>
      <c r="AC144" s="2" t="n"/>
      <c r="AD144" s="7">
        <f>IF(COUNTA(A144:Q144,S144:V144,AC144)=0,"",IF(OR(A144="",B144="",C144="",NOT(ISNUMBER(G144))),"식별값 확인",IF(COUNTIFS(A$2:A$301,A144,B$2:B$301,B144,C$2:C$301,C144,G$2:G$301,G144)&gt;1,"중복 회차",IF(AND(ISNUMBER(K144),K144&gt;G144),"기일 후 예측",IF(AND(T144="낙찰",W144=""),"평가 입력 확인","")))))</f>
        <v/>
      </c>
    </row>
    <row r="145">
      <c r="A145" s="3" t="n"/>
      <c r="B145" s="3" t="n"/>
      <c r="C145" s="3" t="n"/>
      <c r="D145" s="3" t="n"/>
      <c r="E145" s="3" t="n"/>
      <c r="F145" s="3" t="n"/>
      <c r="G145" s="9" t="n"/>
      <c r="H145" s="10" t="n"/>
      <c r="I145" s="10" t="n"/>
      <c r="J145" s="3" t="n"/>
      <c r="K145" s="9" t="n"/>
      <c r="L145" s="10" t="n"/>
      <c r="M145" s="10" t="n"/>
      <c r="N145" s="3" t="n"/>
      <c r="O145" s="10" t="n"/>
      <c r="P145" s="10" t="n"/>
      <c r="Q145" s="10" t="n"/>
      <c r="R145" s="6">
        <f>IF(COUNT(O145:Q145)=3,O145-P145-Q145,"")</f>
        <v/>
      </c>
      <c r="S145" s="3" t="n"/>
      <c r="T145" s="3" t="n"/>
      <c r="U145" s="10" t="n"/>
      <c r="V145" s="3" t="n"/>
      <c r="W145" s="7">
        <f>IF(AND(A145&lt;&gt;"",B145&lt;&gt;"",C145&lt;&gt;"",ISNUMBER(G145),ISNUMBER(K145),K145&lt;=G145,K145&gt;0,T145="낙찰",ISNUMBER(L145),L145&gt;0,ISNUMBER(U145),U145&gt;0,COUNTIFS(A$2:A$301,A145,B$2:B$301,B145,C$2:C$301,C145,G$2:G$301,G145)=1),"평가 가능","")</f>
        <v/>
      </c>
      <c r="X145" s="8">
        <f>IF(W145="평가 가능",(L145-U145)/U145,"")</f>
        <v/>
      </c>
      <c r="Y145" s="8">
        <f>IF(W145="평가 가능",ABS(X145),"")</f>
        <v/>
      </c>
      <c r="Z145" s="7">
        <f>IF(AND(ISNUMBER(M145),M145&gt;0,ISNUMBER(I145)),IF(M145&lt;I145,"최저가 미달",IF(M145=I145,"최저가 동액","최저가 초과")),"")</f>
        <v/>
      </c>
      <c r="AA145" s="7">
        <f>IF(AND(T145="낙찰",ISNUMBER(M145),M145&gt;0,ISNUMBER(U145)),IF(M145&lt;U145,"실제 낙찰가 미만",IF(M145=U145,"실제 낙찰가 동액","실제 낙찰가 초과")),"")</f>
        <v/>
      </c>
      <c r="AB145" s="7">
        <f>IF(AND(ISNUMBER(M145),M145&gt;0,ISNUMBER(R145)),IF(M145&lt;R145,"상한가 미만",IF(M145=R145,"상한가 동액","상한가 초과")),"")</f>
        <v/>
      </c>
      <c r="AC145" s="3" t="n"/>
      <c r="AD145" s="7">
        <f>IF(COUNTA(A145:Q145,S145:V145,AC145)=0,"",IF(OR(A145="",B145="",C145="",NOT(ISNUMBER(G145))),"식별값 확인",IF(COUNTIFS(A$2:A$301,A145,B$2:B$301,B145,C$2:C$301,C145,G$2:G$301,G145)&gt;1,"중복 회차",IF(AND(ISNUMBER(K145),K145&gt;G145),"기일 후 예측",IF(AND(T145="낙찰",W145=""),"평가 입력 확인","")))))</f>
        <v/>
      </c>
    </row>
    <row r="146">
      <c r="A146" s="2" t="n"/>
      <c r="B146" s="2" t="n"/>
      <c r="C146" s="2" t="n"/>
      <c r="D146" s="2" t="n"/>
      <c r="E146" s="2" t="n"/>
      <c r="F146" s="2" t="n"/>
      <c r="G146" s="4" t="n"/>
      <c r="H146" s="5" t="n"/>
      <c r="I146" s="5" t="n"/>
      <c r="J146" s="2" t="n"/>
      <c r="K146" s="4" t="n"/>
      <c r="L146" s="5" t="n"/>
      <c r="M146" s="5" t="n"/>
      <c r="N146" s="2" t="n"/>
      <c r="O146" s="5" t="n"/>
      <c r="P146" s="5" t="n"/>
      <c r="Q146" s="5" t="n"/>
      <c r="R146" s="6">
        <f>IF(COUNT(O146:Q146)=3,O146-P146-Q146,"")</f>
        <v/>
      </c>
      <c r="S146" s="2" t="n"/>
      <c r="T146" s="2" t="n"/>
      <c r="U146" s="5" t="n"/>
      <c r="V146" s="2" t="n"/>
      <c r="W146" s="7">
        <f>IF(AND(A146&lt;&gt;"",B146&lt;&gt;"",C146&lt;&gt;"",ISNUMBER(G146),ISNUMBER(K146),K146&lt;=G146,K146&gt;0,T146="낙찰",ISNUMBER(L146),L146&gt;0,ISNUMBER(U146),U146&gt;0,COUNTIFS(A$2:A$301,A146,B$2:B$301,B146,C$2:C$301,C146,G$2:G$301,G146)=1),"평가 가능","")</f>
        <v/>
      </c>
      <c r="X146" s="8">
        <f>IF(W146="평가 가능",(L146-U146)/U146,"")</f>
        <v/>
      </c>
      <c r="Y146" s="8">
        <f>IF(W146="평가 가능",ABS(X146),"")</f>
        <v/>
      </c>
      <c r="Z146" s="7">
        <f>IF(AND(ISNUMBER(M146),M146&gt;0,ISNUMBER(I146)),IF(M146&lt;I146,"최저가 미달",IF(M146=I146,"최저가 동액","최저가 초과")),"")</f>
        <v/>
      </c>
      <c r="AA146" s="7">
        <f>IF(AND(T146="낙찰",ISNUMBER(M146),M146&gt;0,ISNUMBER(U146)),IF(M146&lt;U146,"실제 낙찰가 미만",IF(M146=U146,"실제 낙찰가 동액","실제 낙찰가 초과")),"")</f>
        <v/>
      </c>
      <c r="AB146" s="7">
        <f>IF(AND(ISNUMBER(M146),M146&gt;0,ISNUMBER(R146)),IF(M146&lt;R146,"상한가 미만",IF(M146=R146,"상한가 동액","상한가 초과")),"")</f>
        <v/>
      </c>
      <c r="AC146" s="2" t="n"/>
      <c r="AD146" s="7">
        <f>IF(COUNTA(A146:Q146,S146:V146,AC146)=0,"",IF(OR(A146="",B146="",C146="",NOT(ISNUMBER(G146))),"식별값 확인",IF(COUNTIFS(A$2:A$301,A146,B$2:B$301,B146,C$2:C$301,C146,G$2:G$301,G146)&gt;1,"중복 회차",IF(AND(ISNUMBER(K146),K146&gt;G146),"기일 후 예측",IF(AND(T146="낙찰",W146=""),"평가 입력 확인","")))))</f>
        <v/>
      </c>
    </row>
    <row r="147">
      <c r="A147" s="3" t="n"/>
      <c r="B147" s="3" t="n"/>
      <c r="C147" s="3" t="n"/>
      <c r="D147" s="3" t="n"/>
      <c r="E147" s="3" t="n"/>
      <c r="F147" s="3" t="n"/>
      <c r="G147" s="9" t="n"/>
      <c r="H147" s="10" t="n"/>
      <c r="I147" s="10" t="n"/>
      <c r="J147" s="3" t="n"/>
      <c r="K147" s="9" t="n"/>
      <c r="L147" s="10" t="n"/>
      <c r="M147" s="10" t="n"/>
      <c r="N147" s="3" t="n"/>
      <c r="O147" s="10" t="n"/>
      <c r="P147" s="10" t="n"/>
      <c r="Q147" s="10" t="n"/>
      <c r="R147" s="6">
        <f>IF(COUNT(O147:Q147)=3,O147-P147-Q147,"")</f>
        <v/>
      </c>
      <c r="S147" s="3" t="n"/>
      <c r="T147" s="3" t="n"/>
      <c r="U147" s="10" t="n"/>
      <c r="V147" s="3" t="n"/>
      <c r="W147" s="7">
        <f>IF(AND(A147&lt;&gt;"",B147&lt;&gt;"",C147&lt;&gt;"",ISNUMBER(G147),ISNUMBER(K147),K147&lt;=G147,K147&gt;0,T147="낙찰",ISNUMBER(L147),L147&gt;0,ISNUMBER(U147),U147&gt;0,COUNTIFS(A$2:A$301,A147,B$2:B$301,B147,C$2:C$301,C147,G$2:G$301,G147)=1),"평가 가능","")</f>
        <v/>
      </c>
      <c r="X147" s="8">
        <f>IF(W147="평가 가능",(L147-U147)/U147,"")</f>
        <v/>
      </c>
      <c r="Y147" s="8">
        <f>IF(W147="평가 가능",ABS(X147),"")</f>
        <v/>
      </c>
      <c r="Z147" s="7">
        <f>IF(AND(ISNUMBER(M147),M147&gt;0,ISNUMBER(I147)),IF(M147&lt;I147,"최저가 미달",IF(M147=I147,"최저가 동액","최저가 초과")),"")</f>
        <v/>
      </c>
      <c r="AA147" s="7">
        <f>IF(AND(T147="낙찰",ISNUMBER(M147),M147&gt;0,ISNUMBER(U147)),IF(M147&lt;U147,"실제 낙찰가 미만",IF(M147=U147,"실제 낙찰가 동액","실제 낙찰가 초과")),"")</f>
        <v/>
      </c>
      <c r="AB147" s="7">
        <f>IF(AND(ISNUMBER(M147),M147&gt;0,ISNUMBER(R147)),IF(M147&lt;R147,"상한가 미만",IF(M147=R147,"상한가 동액","상한가 초과")),"")</f>
        <v/>
      </c>
      <c r="AC147" s="3" t="n"/>
      <c r="AD147" s="7">
        <f>IF(COUNTA(A147:Q147,S147:V147,AC147)=0,"",IF(OR(A147="",B147="",C147="",NOT(ISNUMBER(G147))),"식별값 확인",IF(COUNTIFS(A$2:A$301,A147,B$2:B$301,B147,C$2:C$301,C147,G$2:G$301,G147)&gt;1,"중복 회차",IF(AND(ISNUMBER(K147),K147&gt;G147),"기일 후 예측",IF(AND(T147="낙찰",W147=""),"평가 입력 확인","")))))</f>
        <v/>
      </c>
    </row>
    <row r="148">
      <c r="A148" s="2" t="n"/>
      <c r="B148" s="2" t="n"/>
      <c r="C148" s="2" t="n"/>
      <c r="D148" s="2" t="n"/>
      <c r="E148" s="2" t="n"/>
      <c r="F148" s="2" t="n"/>
      <c r="G148" s="4" t="n"/>
      <c r="H148" s="5" t="n"/>
      <c r="I148" s="5" t="n"/>
      <c r="J148" s="2" t="n"/>
      <c r="K148" s="4" t="n"/>
      <c r="L148" s="5" t="n"/>
      <c r="M148" s="5" t="n"/>
      <c r="N148" s="2" t="n"/>
      <c r="O148" s="5" t="n"/>
      <c r="P148" s="5" t="n"/>
      <c r="Q148" s="5" t="n"/>
      <c r="R148" s="6">
        <f>IF(COUNT(O148:Q148)=3,O148-P148-Q148,"")</f>
        <v/>
      </c>
      <c r="S148" s="2" t="n"/>
      <c r="T148" s="2" t="n"/>
      <c r="U148" s="5" t="n"/>
      <c r="V148" s="2" t="n"/>
      <c r="W148" s="7">
        <f>IF(AND(A148&lt;&gt;"",B148&lt;&gt;"",C148&lt;&gt;"",ISNUMBER(G148),ISNUMBER(K148),K148&lt;=G148,K148&gt;0,T148="낙찰",ISNUMBER(L148),L148&gt;0,ISNUMBER(U148),U148&gt;0,COUNTIFS(A$2:A$301,A148,B$2:B$301,B148,C$2:C$301,C148,G$2:G$301,G148)=1),"평가 가능","")</f>
        <v/>
      </c>
      <c r="X148" s="8">
        <f>IF(W148="평가 가능",(L148-U148)/U148,"")</f>
        <v/>
      </c>
      <c r="Y148" s="8">
        <f>IF(W148="평가 가능",ABS(X148),"")</f>
        <v/>
      </c>
      <c r="Z148" s="7">
        <f>IF(AND(ISNUMBER(M148),M148&gt;0,ISNUMBER(I148)),IF(M148&lt;I148,"최저가 미달",IF(M148=I148,"최저가 동액","최저가 초과")),"")</f>
        <v/>
      </c>
      <c r="AA148" s="7">
        <f>IF(AND(T148="낙찰",ISNUMBER(M148),M148&gt;0,ISNUMBER(U148)),IF(M148&lt;U148,"실제 낙찰가 미만",IF(M148=U148,"실제 낙찰가 동액","실제 낙찰가 초과")),"")</f>
        <v/>
      </c>
      <c r="AB148" s="7">
        <f>IF(AND(ISNUMBER(M148),M148&gt;0,ISNUMBER(R148)),IF(M148&lt;R148,"상한가 미만",IF(M148=R148,"상한가 동액","상한가 초과")),"")</f>
        <v/>
      </c>
      <c r="AC148" s="2" t="n"/>
      <c r="AD148" s="7">
        <f>IF(COUNTA(A148:Q148,S148:V148,AC148)=0,"",IF(OR(A148="",B148="",C148="",NOT(ISNUMBER(G148))),"식별값 확인",IF(COUNTIFS(A$2:A$301,A148,B$2:B$301,B148,C$2:C$301,C148,G$2:G$301,G148)&gt;1,"중복 회차",IF(AND(ISNUMBER(K148),K148&gt;G148),"기일 후 예측",IF(AND(T148="낙찰",W148=""),"평가 입력 확인","")))))</f>
        <v/>
      </c>
    </row>
    <row r="149">
      <c r="A149" s="3" t="n"/>
      <c r="B149" s="3" t="n"/>
      <c r="C149" s="3" t="n"/>
      <c r="D149" s="3" t="n"/>
      <c r="E149" s="3" t="n"/>
      <c r="F149" s="3" t="n"/>
      <c r="G149" s="9" t="n"/>
      <c r="H149" s="10" t="n"/>
      <c r="I149" s="10" t="n"/>
      <c r="J149" s="3" t="n"/>
      <c r="K149" s="9" t="n"/>
      <c r="L149" s="10" t="n"/>
      <c r="M149" s="10" t="n"/>
      <c r="N149" s="3" t="n"/>
      <c r="O149" s="10" t="n"/>
      <c r="P149" s="10" t="n"/>
      <c r="Q149" s="10" t="n"/>
      <c r="R149" s="6">
        <f>IF(COUNT(O149:Q149)=3,O149-P149-Q149,"")</f>
        <v/>
      </c>
      <c r="S149" s="3" t="n"/>
      <c r="T149" s="3" t="n"/>
      <c r="U149" s="10" t="n"/>
      <c r="V149" s="3" t="n"/>
      <c r="W149" s="7">
        <f>IF(AND(A149&lt;&gt;"",B149&lt;&gt;"",C149&lt;&gt;"",ISNUMBER(G149),ISNUMBER(K149),K149&lt;=G149,K149&gt;0,T149="낙찰",ISNUMBER(L149),L149&gt;0,ISNUMBER(U149),U149&gt;0,COUNTIFS(A$2:A$301,A149,B$2:B$301,B149,C$2:C$301,C149,G$2:G$301,G149)=1),"평가 가능","")</f>
        <v/>
      </c>
      <c r="X149" s="8">
        <f>IF(W149="평가 가능",(L149-U149)/U149,"")</f>
        <v/>
      </c>
      <c r="Y149" s="8">
        <f>IF(W149="평가 가능",ABS(X149),"")</f>
        <v/>
      </c>
      <c r="Z149" s="7">
        <f>IF(AND(ISNUMBER(M149),M149&gt;0,ISNUMBER(I149)),IF(M149&lt;I149,"최저가 미달",IF(M149=I149,"최저가 동액","최저가 초과")),"")</f>
        <v/>
      </c>
      <c r="AA149" s="7">
        <f>IF(AND(T149="낙찰",ISNUMBER(M149),M149&gt;0,ISNUMBER(U149)),IF(M149&lt;U149,"실제 낙찰가 미만",IF(M149=U149,"실제 낙찰가 동액","실제 낙찰가 초과")),"")</f>
        <v/>
      </c>
      <c r="AB149" s="7">
        <f>IF(AND(ISNUMBER(M149),M149&gt;0,ISNUMBER(R149)),IF(M149&lt;R149,"상한가 미만",IF(M149=R149,"상한가 동액","상한가 초과")),"")</f>
        <v/>
      </c>
      <c r="AC149" s="3" t="n"/>
      <c r="AD149" s="7">
        <f>IF(COUNTA(A149:Q149,S149:V149,AC149)=0,"",IF(OR(A149="",B149="",C149="",NOT(ISNUMBER(G149))),"식별값 확인",IF(COUNTIFS(A$2:A$301,A149,B$2:B$301,B149,C$2:C$301,C149,G$2:G$301,G149)&gt;1,"중복 회차",IF(AND(ISNUMBER(K149),K149&gt;G149),"기일 후 예측",IF(AND(T149="낙찰",W149=""),"평가 입력 확인","")))))</f>
        <v/>
      </c>
    </row>
    <row r="150">
      <c r="A150" s="2" t="n"/>
      <c r="B150" s="2" t="n"/>
      <c r="C150" s="2" t="n"/>
      <c r="D150" s="2" t="n"/>
      <c r="E150" s="2" t="n"/>
      <c r="F150" s="2" t="n"/>
      <c r="G150" s="4" t="n"/>
      <c r="H150" s="5" t="n"/>
      <c r="I150" s="5" t="n"/>
      <c r="J150" s="2" t="n"/>
      <c r="K150" s="4" t="n"/>
      <c r="L150" s="5" t="n"/>
      <c r="M150" s="5" t="n"/>
      <c r="N150" s="2" t="n"/>
      <c r="O150" s="5" t="n"/>
      <c r="P150" s="5" t="n"/>
      <c r="Q150" s="5" t="n"/>
      <c r="R150" s="6">
        <f>IF(COUNT(O150:Q150)=3,O150-P150-Q150,"")</f>
        <v/>
      </c>
      <c r="S150" s="2" t="n"/>
      <c r="T150" s="2" t="n"/>
      <c r="U150" s="5" t="n"/>
      <c r="V150" s="2" t="n"/>
      <c r="W150" s="7">
        <f>IF(AND(A150&lt;&gt;"",B150&lt;&gt;"",C150&lt;&gt;"",ISNUMBER(G150),ISNUMBER(K150),K150&lt;=G150,K150&gt;0,T150="낙찰",ISNUMBER(L150),L150&gt;0,ISNUMBER(U150),U150&gt;0,COUNTIFS(A$2:A$301,A150,B$2:B$301,B150,C$2:C$301,C150,G$2:G$301,G150)=1),"평가 가능","")</f>
        <v/>
      </c>
      <c r="X150" s="8">
        <f>IF(W150="평가 가능",(L150-U150)/U150,"")</f>
        <v/>
      </c>
      <c r="Y150" s="8">
        <f>IF(W150="평가 가능",ABS(X150),"")</f>
        <v/>
      </c>
      <c r="Z150" s="7">
        <f>IF(AND(ISNUMBER(M150),M150&gt;0,ISNUMBER(I150)),IF(M150&lt;I150,"최저가 미달",IF(M150=I150,"최저가 동액","최저가 초과")),"")</f>
        <v/>
      </c>
      <c r="AA150" s="7">
        <f>IF(AND(T150="낙찰",ISNUMBER(M150),M150&gt;0,ISNUMBER(U150)),IF(M150&lt;U150,"실제 낙찰가 미만",IF(M150=U150,"실제 낙찰가 동액","실제 낙찰가 초과")),"")</f>
        <v/>
      </c>
      <c r="AB150" s="7">
        <f>IF(AND(ISNUMBER(M150),M150&gt;0,ISNUMBER(R150)),IF(M150&lt;R150,"상한가 미만",IF(M150=R150,"상한가 동액","상한가 초과")),"")</f>
        <v/>
      </c>
      <c r="AC150" s="2" t="n"/>
      <c r="AD150" s="7">
        <f>IF(COUNTA(A150:Q150,S150:V150,AC150)=0,"",IF(OR(A150="",B150="",C150="",NOT(ISNUMBER(G150))),"식별값 확인",IF(COUNTIFS(A$2:A$301,A150,B$2:B$301,B150,C$2:C$301,C150,G$2:G$301,G150)&gt;1,"중복 회차",IF(AND(ISNUMBER(K150),K150&gt;G150),"기일 후 예측",IF(AND(T150="낙찰",W150=""),"평가 입력 확인","")))))</f>
        <v/>
      </c>
    </row>
    <row r="151">
      <c r="A151" s="3" t="n"/>
      <c r="B151" s="3" t="n"/>
      <c r="C151" s="3" t="n"/>
      <c r="D151" s="3" t="n"/>
      <c r="E151" s="3" t="n"/>
      <c r="F151" s="3" t="n"/>
      <c r="G151" s="9" t="n"/>
      <c r="H151" s="10" t="n"/>
      <c r="I151" s="10" t="n"/>
      <c r="J151" s="3" t="n"/>
      <c r="K151" s="9" t="n"/>
      <c r="L151" s="10" t="n"/>
      <c r="M151" s="10" t="n"/>
      <c r="N151" s="3" t="n"/>
      <c r="O151" s="10" t="n"/>
      <c r="P151" s="10" t="n"/>
      <c r="Q151" s="10" t="n"/>
      <c r="R151" s="6">
        <f>IF(COUNT(O151:Q151)=3,O151-P151-Q151,"")</f>
        <v/>
      </c>
      <c r="S151" s="3" t="n"/>
      <c r="T151" s="3" t="n"/>
      <c r="U151" s="10" t="n"/>
      <c r="V151" s="3" t="n"/>
      <c r="W151" s="7">
        <f>IF(AND(A151&lt;&gt;"",B151&lt;&gt;"",C151&lt;&gt;"",ISNUMBER(G151),ISNUMBER(K151),K151&lt;=G151,K151&gt;0,T151="낙찰",ISNUMBER(L151),L151&gt;0,ISNUMBER(U151),U151&gt;0,COUNTIFS(A$2:A$301,A151,B$2:B$301,B151,C$2:C$301,C151,G$2:G$301,G151)=1),"평가 가능","")</f>
        <v/>
      </c>
      <c r="X151" s="8">
        <f>IF(W151="평가 가능",(L151-U151)/U151,"")</f>
        <v/>
      </c>
      <c r="Y151" s="8">
        <f>IF(W151="평가 가능",ABS(X151),"")</f>
        <v/>
      </c>
      <c r="Z151" s="7">
        <f>IF(AND(ISNUMBER(M151),M151&gt;0,ISNUMBER(I151)),IF(M151&lt;I151,"최저가 미달",IF(M151=I151,"최저가 동액","최저가 초과")),"")</f>
        <v/>
      </c>
      <c r="AA151" s="7">
        <f>IF(AND(T151="낙찰",ISNUMBER(M151),M151&gt;0,ISNUMBER(U151)),IF(M151&lt;U151,"실제 낙찰가 미만",IF(M151=U151,"실제 낙찰가 동액","실제 낙찰가 초과")),"")</f>
        <v/>
      </c>
      <c r="AB151" s="7">
        <f>IF(AND(ISNUMBER(M151),M151&gt;0,ISNUMBER(R151)),IF(M151&lt;R151,"상한가 미만",IF(M151=R151,"상한가 동액","상한가 초과")),"")</f>
        <v/>
      </c>
      <c r="AC151" s="3" t="n"/>
      <c r="AD151" s="7">
        <f>IF(COUNTA(A151:Q151,S151:V151,AC151)=0,"",IF(OR(A151="",B151="",C151="",NOT(ISNUMBER(G151))),"식별값 확인",IF(COUNTIFS(A$2:A$301,A151,B$2:B$301,B151,C$2:C$301,C151,G$2:G$301,G151)&gt;1,"중복 회차",IF(AND(ISNUMBER(K151),K151&gt;G151),"기일 후 예측",IF(AND(T151="낙찰",W151=""),"평가 입력 확인","")))))</f>
        <v/>
      </c>
    </row>
    <row r="152">
      <c r="A152" s="2" t="n"/>
      <c r="B152" s="2" t="n"/>
      <c r="C152" s="2" t="n"/>
      <c r="D152" s="2" t="n"/>
      <c r="E152" s="2" t="n"/>
      <c r="F152" s="2" t="n"/>
      <c r="G152" s="4" t="n"/>
      <c r="H152" s="5" t="n"/>
      <c r="I152" s="5" t="n"/>
      <c r="J152" s="2" t="n"/>
      <c r="K152" s="4" t="n"/>
      <c r="L152" s="5" t="n"/>
      <c r="M152" s="5" t="n"/>
      <c r="N152" s="2" t="n"/>
      <c r="O152" s="5" t="n"/>
      <c r="P152" s="5" t="n"/>
      <c r="Q152" s="5" t="n"/>
      <c r="R152" s="6">
        <f>IF(COUNT(O152:Q152)=3,O152-P152-Q152,"")</f>
        <v/>
      </c>
      <c r="S152" s="2" t="n"/>
      <c r="T152" s="2" t="n"/>
      <c r="U152" s="5" t="n"/>
      <c r="V152" s="2" t="n"/>
      <c r="W152" s="7">
        <f>IF(AND(A152&lt;&gt;"",B152&lt;&gt;"",C152&lt;&gt;"",ISNUMBER(G152),ISNUMBER(K152),K152&lt;=G152,K152&gt;0,T152="낙찰",ISNUMBER(L152),L152&gt;0,ISNUMBER(U152),U152&gt;0,COUNTIFS(A$2:A$301,A152,B$2:B$301,B152,C$2:C$301,C152,G$2:G$301,G152)=1),"평가 가능","")</f>
        <v/>
      </c>
      <c r="X152" s="8">
        <f>IF(W152="평가 가능",(L152-U152)/U152,"")</f>
        <v/>
      </c>
      <c r="Y152" s="8">
        <f>IF(W152="평가 가능",ABS(X152),"")</f>
        <v/>
      </c>
      <c r="Z152" s="7">
        <f>IF(AND(ISNUMBER(M152),M152&gt;0,ISNUMBER(I152)),IF(M152&lt;I152,"최저가 미달",IF(M152=I152,"최저가 동액","최저가 초과")),"")</f>
        <v/>
      </c>
      <c r="AA152" s="7">
        <f>IF(AND(T152="낙찰",ISNUMBER(M152),M152&gt;0,ISNUMBER(U152)),IF(M152&lt;U152,"실제 낙찰가 미만",IF(M152=U152,"실제 낙찰가 동액","실제 낙찰가 초과")),"")</f>
        <v/>
      </c>
      <c r="AB152" s="7">
        <f>IF(AND(ISNUMBER(M152),M152&gt;0,ISNUMBER(R152)),IF(M152&lt;R152,"상한가 미만",IF(M152=R152,"상한가 동액","상한가 초과")),"")</f>
        <v/>
      </c>
      <c r="AC152" s="2" t="n"/>
      <c r="AD152" s="7">
        <f>IF(COUNTA(A152:Q152,S152:V152,AC152)=0,"",IF(OR(A152="",B152="",C152="",NOT(ISNUMBER(G152))),"식별값 확인",IF(COUNTIFS(A$2:A$301,A152,B$2:B$301,B152,C$2:C$301,C152,G$2:G$301,G152)&gt;1,"중복 회차",IF(AND(ISNUMBER(K152),K152&gt;G152),"기일 후 예측",IF(AND(T152="낙찰",W152=""),"평가 입력 확인","")))))</f>
        <v/>
      </c>
    </row>
    <row r="153">
      <c r="A153" s="3" t="n"/>
      <c r="B153" s="3" t="n"/>
      <c r="C153" s="3" t="n"/>
      <c r="D153" s="3" t="n"/>
      <c r="E153" s="3" t="n"/>
      <c r="F153" s="3" t="n"/>
      <c r="G153" s="9" t="n"/>
      <c r="H153" s="10" t="n"/>
      <c r="I153" s="10" t="n"/>
      <c r="J153" s="3" t="n"/>
      <c r="K153" s="9" t="n"/>
      <c r="L153" s="10" t="n"/>
      <c r="M153" s="10" t="n"/>
      <c r="N153" s="3" t="n"/>
      <c r="O153" s="10" t="n"/>
      <c r="P153" s="10" t="n"/>
      <c r="Q153" s="10" t="n"/>
      <c r="R153" s="6">
        <f>IF(COUNT(O153:Q153)=3,O153-P153-Q153,"")</f>
        <v/>
      </c>
      <c r="S153" s="3" t="n"/>
      <c r="T153" s="3" t="n"/>
      <c r="U153" s="10" t="n"/>
      <c r="V153" s="3" t="n"/>
      <c r="W153" s="7">
        <f>IF(AND(A153&lt;&gt;"",B153&lt;&gt;"",C153&lt;&gt;"",ISNUMBER(G153),ISNUMBER(K153),K153&lt;=G153,K153&gt;0,T153="낙찰",ISNUMBER(L153),L153&gt;0,ISNUMBER(U153),U153&gt;0,COUNTIFS(A$2:A$301,A153,B$2:B$301,B153,C$2:C$301,C153,G$2:G$301,G153)=1),"평가 가능","")</f>
        <v/>
      </c>
      <c r="X153" s="8">
        <f>IF(W153="평가 가능",(L153-U153)/U153,"")</f>
        <v/>
      </c>
      <c r="Y153" s="8">
        <f>IF(W153="평가 가능",ABS(X153),"")</f>
        <v/>
      </c>
      <c r="Z153" s="7">
        <f>IF(AND(ISNUMBER(M153),M153&gt;0,ISNUMBER(I153)),IF(M153&lt;I153,"최저가 미달",IF(M153=I153,"최저가 동액","최저가 초과")),"")</f>
        <v/>
      </c>
      <c r="AA153" s="7">
        <f>IF(AND(T153="낙찰",ISNUMBER(M153),M153&gt;0,ISNUMBER(U153)),IF(M153&lt;U153,"실제 낙찰가 미만",IF(M153=U153,"실제 낙찰가 동액","실제 낙찰가 초과")),"")</f>
        <v/>
      </c>
      <c r="AB153" s="7">
        <f>IF(AND(ISNUMBER(M153),M153&gt;0,ISNUMBER(R153)),IF(M153&lt;R153,"상한가 미만",IF(M153=R153,"상한가 동액","상한가 초과")),"")</f>
        <v/>
      </c>
      <c r="AC153" s="3" t="n"/>
      <c r="AD153" s="7">
        <f>IF(COUNTA(A153:Q153,S153:V153,AC153)=0,"",IF(OR(A153="",B153="",C153="",NOT(ISNUMBER(G153))),"식별값 확인",IF(COUNTIFS(A$2:A$301,A153,B$2:B$301,B153,C$2:C$301,C153,G$2:G$301,G153)&gt;1,"중복 회차",IF(AND(ISNUMBER(K153),K153&gt;G153),"기일 후 예측",IF(AND(T153="낙찰",W153=""),"평가 입력 확인","")))))</f>
        <v/>
      </c>
    </row>
    <row r="154">
      <c r="A154" s="2" t="n"/>
      <c r="B154" s="2" t="n"/>
      <c r="C154" s="2" t="n"/>
      <c r="D154" s="2" t="n"/>
      <c r="E154" s="2" t="n"/>
      <c r="F154" s="2" t="n"/>
      <c r="G154" s="4" t="n"/>
      <c r="H154" s="5" t="n"/>
      <c r="I154" s="5" t="n"/>
      <c r="J154" s="2" t="n"/>
      <c r="K154" s="4" t="n"/>
      <c r="L154" s="5" t="n"/>
      <c r="M154" s="5" t="n"/>
      <c r="N154" s="2" t="n"/>
      <c r="O154" s="5" t="n"/>
      <c r="P154" s="5" t="n"/>
      <c r="Q154" s="5" t="n"/>
      <c r="R154" s="6">
        <f>IF(COUNT(O154:Q154)=3,O154-P154-Q154,"")</f>
        <v/>
      </c>
      <c r="S154" s="2" t="n"/>
      <c r="T154" s="2" t="n"/>
      <c r="U154" s="5" t="n"/>
      <c r="V154" s="2" t="n"/>
      <c r="W154" s="7">
        <f>IF(AND(A154&lt;&gt;"",B154&lt;&gt;"",C154&lt;&gt;"",ISNUMBER(G154),ISNUMBER(K154),K154&lt;=G154,K154&gt;0,T154="낙찰",ISNUMBER(L154),L154&gt;0,ISNUMBER(U154),U154&gt;0,COUNTIFS(A$2:A$301,A154,B$2:B$301,B154,C$2:C$301,C154,G$2:G$301,G154)=1),"평가 가능","")</f>
        <v/>
      </c>
      <c r="X154" s="8">
        <f>IF(W154="평가 가능",(L154-U154)/U154,"")</f>
        <v/>
      </c>
      <c r="Y154" s="8">
        <f>IF(W154="평가 가능",ABS(X154),"")</f>
        <v/>
      </c>
      <c r="Z154" s="7">
        <f>IF(AND(ISNUMBER(M154),M154&gt;0,ISNUMBER(I154)),IF(M154&lt;I154,"최저가 미달",IF(M154=I154,"최저가 동액","최저가 초과")),"")</f>
        <v/>
      </c>
      <c r="AA154" s="7">
        <f>IF(AND(T154="낙찰",ISNUMBER(M154),M154&gt;0,ISNUMBER(U154)),IF(M154&lt;U154,"실제 낙찰가 미만",IF(M154=U154,"실제 낙찰가 동액","실제 낙찰가 초과")),"")</f>
        <v/>
      </c>
      <c r="AB154" s="7">
        <f>IF(AND(ISNUMBER(M154),M154&gt;0,ISNUMBER(R154)),IF(M154&lt;R154,"상한가 미만",IF(M154=R154,"상한가 동액","상한가 초과")),"")</f>
        <v/>
      </c>
      <c r="AC154" s="2" t="n"/>
      <c r="AD154" s="7">
        <f>IF(COUNTA(A154:Q154,S154:V154,AC154)=0,"",IF(OR(A154="",B154="",C154="",NOT(ISNUMBER(G154))),"식별값 확인",IF(COUNTIFS(A$2:A$301,A154,B$2:B$301,B154,C$2:C$301,C154,G$2:G$301,G154)&gt;1,"중복 회차",IF(AND(ISNUMBER(K154),K154&gt;G154),"기일 후 예측",IF(AND(T154="낙찰",W154=""),"평가 입력 확인","")))))</f>
        <v/>
      </c>
    </row>
    <row r="155">
      <c r="A155" s="3" t="n"/>
      <c r="B155" s="3" t="n"/>
      <c r="C155" s="3" t="n"/>
      <c r="D155" s="3" t="n"/>
      <c r="E155" s="3" t="n"/>
      <c r="F155" s="3" t="n"/>
      <c r="G155" s="9" t="n"/>
      <c r="H155" s="10" t="n"/>
      <c r="I155" s="10" t="n"/>
      <c r="J155" s="3" t="n"/>
      <c r="K155" s="9" t="n"/>
      <c r="L155" s="10" t="n"/>
      <c r="M155" s="10" t="n"/>
      <c r="N155" s="3" t="n"/>
      <c r="O155" s="10" t="n"/>
      <c r="P155" s="10" t="n"/>
      <c r="Q155" s="10" t="n"/>
      <c r="R155" s="6">
        <f>IF(COUNT(O155:Q155)=3,O155-P155-Q155,"")</f>
        <v/>
      </c>
      <c r="S155" s="3" t="n"/>
      <c r="T155" s="3" t="n"/>
      <c r="U155" s="10" t="n"/>
      <c r="V155" s="3" t="n"/>
      <c r="W155" s="7">
        <f>IF(AND(A155&lt;&gt;"",B155&lt;&gt;"",C155&lt;&gt;"",ISNUMBER(G155),ISNUMBER(K155),K155&lt;=G155,K155&gt;0,T155="낙찰",ISNUMBER(L155),L155&gt;0,ISNUMBER(U155),U155&gt;0,COUNTIFS(A$2:A$301,A155,B$2:B$301,B155,C$2:C$301,C155,G$2:G$301,G155)=1),"평가 가능","")</f>
        <v/>
      </c>
      <c r="X155" s="8">
        <f>IF(W155="평가 가능",(L155-U155)/U155,"")</f>
        <v/>
      </c>
      <c r="Y155" s="8">
        <f>IF(W155="평가 가능",ABS(X155),"")</f>
        <v/>
      </c>
      <c r="Z155" s="7">
        <f>IF(AND(ISNUMBER(M155),M155&gt;0,ISNUMBER(I155)),IF(M155&lt;I155,"최저가 미달",IF(M155=I155,"최저가 동액","최저가 초과")),"")</f>
        <v/>
      </c>
      <c r="AA155" s="7">
        <f>IF(AND(T155="낙찰",ISNUMBER(M155),M155&gt;0,ISNUMBER(U155)),IF(M155&lt;U155,"실제 낙찰가 미만",IF(M155=U155,"실제 낙찰가 동액","실제 낙찰가 초과")),"")</f>
        <v/>
      </c>
      <c r="AB155" s="7">
        <f>IF(AND(ISNUMBER(M155),M155&gt;0,ISNUMBER(R155)),IF(M155&lt;R155,"상한가 미만",IF(M155=R155,"상한가 동액","상한가 초과")),"")</f>
        <v/>
      </c>
      <c r="AC155" s="3" t="n"/>
      <c r="AD155" s="7">
        <f>IF(COUNTA(A155:Q155,S155:V155,AC155)=0,"",IF(OR(A155="",B155="",C155="",NOT(ISNUMBER(G155))),"식별값 확인",IF(COUNTIFS(A$2:A$301,A155,B$2:B$301,B155,C$2:C$301,C155,G$2:G$301,G155)&gt;1,"중복 회차",IF(AND(ISNUMBER(K155),K155&gt;G155),"기일 후 예측",IF(AND(T155="낙찰",W155=""),"평가 입력 확인","")))))</f>
        <v/>
      </c>
    </row>
    <row r="156">
      <c r="A156" s="2" t="n"/>
      <c r="B156" s="2" t="n"/>
      <c r="C156" s="2" t="n"/>
      <c r="D156" s="2" t="n"/>
      <c r="E156" s="2" t="n"/>
      <c r="F156" s="2" t="n"/>
      <c r="G156" s="4" t="n"/>
      <c r="H156" s="5" t="n"/>
      <c r="I156" s="5" t="n"/>
      <c r="J156" s="2" t="n"/>
      <c r="K156" s="4" t="n"/>
      <c r="L156" s="5" t="n"/>
      <c r="M156" s="5" t="n"/>
      <c r="N156" s="2" t="n"/>
      <c r="O156" s="5" t="n"/>
      <c r="P156" s="5" t="n"/>
      <c r="Q156" s="5" t="n"/>
      <c r="R156" s="6">
        <f>IF(COUNT(O156:Q156)=3,O156-P156-Q156,"")</f>
        <v/>
      </c>
      <c r="S156" s="2" t="n"/>
      <c r="T156" s="2" t="n"/>
      <c r="U156" s="5" t="n"/>
      <c r="V156" s="2" t="n"/>
      <c r="W156" s="7">
        <f>IF(AND(A156&lt;&gt;"",B156&lt;&gt;"",C156&lt;&gt;"",ISNUMBER(G156),ISNUMBER(K156),K156&lt;=G156,K156&gt;0,T156="낙찰",ISNUMBER(L156),L156&gt;0,ISNUMBER(U156),U156&gt;0,COUNTIFS(A$2:A$301,A156,B$2:B$301,B156,C$2:C$301,C156,G$2:G$301,G156)=1),"평가 가능","")</f>
        <v/>
      </c>
      <c r="X156" s="8">
        <f>IF(W156="평가 가능",(L156-U156)/U156,"")</f>
        <v/>
      </c>
      <c r="Y156" s="8">
        <f>IF(W156="평가 가능",ABS(X156),"")</f>
        <v/>
      </c>
      <c r="Z156" s="7">
        <f>IF(AND(ISNUMBER(M156),M156&gt;0,ISNUMBER(I156)),IF(M156&lt;I156,"최저가 미달",IF(M156=I156,"최저가 동액","최저가 초과")),"")</f>
        <v/>
      </c>
      <c r="AA156" s="7">
        <f>IF(AND(T156="낙찰",ISNUMBER(M156),M156&gt;0,ISNUMBER(U156)),IF(M156&lt;U156,"실제 낙찰가 미만",IF(M156=U156,"실제 낙찰가 동액","실제 낙찰가 초과")),"")</f>
        <v/>
      </c>
      <c r="AB156" s="7">
        <f>IF(AND(ISNUMBER(M156),M156&gt;0,ISNUMBER(R156)),IF(M156&lt;R156,"상한가 미만",IF(M156=R156,"상한가 동액","상한가 초과")),"")</f>
        <v/>
      </c>
      <c r="AC156" s="2" t="n"/>
      <c r="AD156" s="7">
        <f>IF(COUNTA(A156:Q156,S156:V156,AC156)=0,"",IF(OR(A156="",B156="",C156="",NOT(ISNUMBER(G156))),"식별값 확인",IF(COUNTIFS(A$2:A$301,A156,B$2:B$301,B156,C$2:C$301,C156,G$2:G$301,G156)&gt;1,"중복 회차",IF(AND(ISNUMBER(K156),K156&gt;G156),"기일 후 예측",IF(AND(T156="낙찰",W156=""),"평가 입력 확인","")))))</f>
        <v/>
      </c>
    </row>
    <row r="157">
      <c r="A157" s="3" t="n"/>
      <c r="B157" s="3" t="n"/>
      <c r="C157" s="3" t="n"/>
      <c r="D157" s="3" t="n"/>
      <c r="E157" s="3" t="n"/>
      <c r="F157" s="3" t="n"/>
      <c r="G157" s="9" t="n"/>
      <c r="H157" s="10" t="n"/>
      <c r="I157" s="10" t="n"/>
      <c r="J157" s="3" t="n"/>
      <c r="K157" s="9" t="n"/>
      <c r="L157" s="10" t="n"/>
      <c r="M157" s="10" t="n"/>
      <c r="N157" s="3" t="n"/>
      <c r="O157" s="10" t="n"/>
      <c r="P157" s="10" t="n"/>
      <c r="Q157" s="10" t="n"/>
      <c r="R157" s="6">
        <f>IF(COUNT(O157:Q157)=3,O157-P157-Q157,"")</f>
        <v/>
      </c>
      <c r="S157" s="3" t="n"/>
      <c r="T157" s="3" t="n"/>
      <c r="U157" s="10" t="n"/>
      <c r="V157" s="3" t="n"/>
      <c r="W157" s="7">
        <f>IF(AND(A157&lt;&gt;"",B157&lt;&gt;"",C157&lt;&gt;"",ISNUMBER(G157),ISNUMBER(K157),K157&lt;=G157,K157&gt;0,T157="낙찰",ISNUMBER(L157),L157&gt;0,ISNUMBER(U157),U157&gt;0,COUNTIFS(A$2:A$301,A157,B$2:B$301,B157,C$2:C$301,C157,G$2:G$301,G157)=1),"평가 가능","")</f>
        <v/>
      </c>
      <c r="X157" s="8">
        <f>IF(W157="평가 가능",(L157-U157)/U157,"")</f>
        <v/>
      </c>
      <c r="Y157" s="8">
        <f>IF(W157="평가 가능",ABS(X157),"")</f>
        <v/>
      </c>
      <c r="Z157" s="7">
        <f>IF(AND(ISNUMBER(M157),M157&gt;0,ISNUMBER(I157)),IF(M157&lt;I157,"최저가 미달",IF(M157=I157,"최저가 동액","최저가 초과")),"")</f>
        <v/>
      </c>
      <c r="AA157" s="7">
        <f>IF(AND(T157="낙찰",ISNUMBER(M157),M157&gt;0,ISNUMBER(U157)),IF(M157&lt;U157,"실제 낙찰가 미만",IF(M157=U157,"실제 낙찰가 동액","실제 낙찰가 초과")),"")</f>
        <v/>
      </c>
      <c r="AB157" s="7">
        <f>IF(AND(ISNUMBER(M157),M157&gt;0,ISNUMBER(R157)),IF(M157&lt;R157,"상한가 미만",IF(M157=R157,"상한가 동액","상한가 초과")),"")</f>
        <v/>
      </c>
      <c r="AC157" s="3" t="n"/>
      <c r="AD157" s="7">
        <f>IF(COUNTA(A157:Q157,S157:V157,AC157)=0,"",IF(OR(A157="",B157="",C157="",NOT(ISNUMBER(G157))),"식별값 확인",IF(COUNTIFS(A$2:A$301,A157,B$2:B$301,B157,C$2:C$301,C157,G$2:G$301,G157)&gt;1,"중복 회차",IF(AND(ISNUMBER(K157),K157&gt;G157),"기일 후 예측",IF(AND(T157="낙찰",W157=""),"평가 입력 확인","")))))</f>
        <v/>
      </c>
    </row>
    <row r="158">
      <c r="A158" s="2" t="n"/>
      <c r="B158" s="2" t="n"/>
      <c r="C158" s="2" t="n"/>
      <c r="D158" s="2" t="n"/>
      <c r="E158" s="2" t="n"/>
      <c r="F158" s="2" t="n"/>
      <c r="G158" s="4" t="n"/>
      <c r="H158" s="5" t="n"/>
      <c r="I158" s="5" t="n"/>
      <c r="J158" s="2" t="n"/>
      <c r="K158" s="4" t="n"/>
      <c r="L158" s="5" t="n"/>
      <c r="M158" s="5" t="n"/>
      <c r="N158" s="2" t="n"/>
      <c r="O158" s="5" t="n"/>
      <c r="P158" s="5" t="n"/>
      <c r="Q158" s="5" t="n"/>
      <c r="R158" s="6">
        <f>IF(COUNT(O158:Q158)=3,O158-P158-Q158,"")</f>
        <v/>
      </c>
      <c r="S158" s="2" t="n"/>
      <c r="T158" s="2" t="n"/>
      <c r="U158" s="5" t="n"/>
      <c r="V158" s="2" t="n"/>
      <c r="W158" s="7">
        <f>IF(AND(A158&lt;&gt;"",B158&lt;&gt;"",C158&lt;&gt;"",ISNUMBER(G158),ISNUMBER(K158),K158&lt;=G158,K158&gt;0,T158="낙찰",ISNUMBER(L158),L158&gt;0,ISNUMBER(U158),U158&gt;0,COUNTIFS(A$2:A$301,A158,B$2:B$301,B158,C$2:C$301,C158,G$2:G$301,G158)=1),"평가 가능","")</f>
        <v/>
      </c>
      <c r="X158" s="8">
        <f>IF(W158="평가 가능",(L158-U158)/U158,"")</f>
        <v/>
      </c>
      <c r="Y158" s="8">
        <f>IF(W158="평가 가능",ABS(X158),"")</f>
        <v/>
      </c>
      <c r="Z158" s="7">
        <f>IF(AND(ISNUMBER(M158),M158&gt;0,ISNUMBER(I158)),IF(M158&lt;I158,"최저가 미달",IF(M158=I158,"최저가 동액","최저가 초과")),"")</f>
        <v/>
      </c>
      <c r="AA158" s="7">
        <f>IF(AND(T158="낙찰",ISNUMBER(M158),M158&gt;0,ISNUMBER(U158)),IF(M158&lt;U158,"실제 낙찰가 미만",IF(M158=U158,"실제 낙찰가 동액","실제 낙찰가 초과")),"")</f>
        <v/>
      </c>
      <c r="AB158" s="7">
        <f>IF(AND(ISNUMBER(M158),M158&gt;0,ISNUMBER(R158)),IF(M158&lt;R158,"상한가 미만",IF(M158=R158,"상한가 동액","상한가 초과")),"")</f>
        <v/>
      </c>
      <c r="AC158" s="2" t="n"/>
      <c r="AD158" s="7">
        <f>IF(COUNTA(A158:Q158,S158:V158,AC158)=0,"",IF(OR(A158="",B158="",C158="",NOT(ISNUMBER(G158))),"식별값 확인",IF(COUNTIFS(A$2:A$301,A158,B$2:B$301,B158,C$2:C$301,C158,G$2:G$301,G158)&gt;1,"중복 회차",IF(AND(ISNUMBER(K158),K158&gt;G158),"기일 후 예측",IF(AND(T158="낙찰",W158=""),"평가 입력 확인","")))))</f>
        <v/>
      </c>
    </row>
    <row r="159">
      <c r="A159" s="3" t="n"/>
      <c r="B159" s="3" t="n"/>
      <c r="C159" s="3" t="n"/>
      <c r="D159" s="3" t="n"/>
      <c r="E159" s="3" t="n"/>
      <c r="F159" s="3" t="n"/>
      <c r="G159" s="9" t="n"/>
      <c r="H159" s="10" t="n"/>
      <c r="I159" s="10" t="n"/>
      <c r="J159" s="3" t="n"/>
      <c r="K159" s="9" t="n"/>
      <c r="L159" s="10" t="n"/>
      <c r="M159" s="10" t="n"/>
      <c r="N159" s="3" t="n"/>
      <c r="O159" s="10" t="n"/>
      <c r="P159" s="10" t="n"/>
      <c r="Q159" s="10" t="n"/>
      <c r="R159" s="6">
        <f>IF(COUNT(O159:Q159)=3,O159-P159-Q159,"")</f>
        <v/>
      </c>
      <c r="S159" s="3" t="n"/>
      <c r="T159" s="3" t="n"/>
      <c r="U159" s="10" t="n"/>
      <c r="V159" s="3" t="n"/>
      <c r="W159" s="7">
        <f>IF(AND(A159&lt;&gt;"",B159&lt;&gt;"",C159&lt;&gt;"",ISNUMBER(G159),ISNUMBER(K159),K159&lt;=G159,K159&gt;0,T159="낙찰",ISNUMBER(L159),L159&gt;0,ISNUMBER(U159),U159&gt;0,COUNTIFS(A$2:A$301,A159,B$2:B$301,B159,C$2:C$301,C159,G$2:G$301,G159)=1),"평가 가능","")</f>
        <v/>
      </c>
      <c r="X159" s="8">
        <f>IF(W159="평가 가능",(L159-U159)/U159,"")</f>
        <v/>
      </c>
      <c r="Y159" s="8">
        <f>IF(W159="평가 가능",ABS(X159),"")</f>
        <v/>
      </c>
      <c r="Z159" s="7">
        <f>IF(AND(ISNUMBER(M159),M159&gt;0,ISNUMBER(I159)),IF(M159&lt;I159,"최저가 미달",IF(M159=I159,"최저가 동액","최저가 초과")),"")</f>
        <v/>
      </c>
      <c r="AA159" s="7">
        <f>IF(AND(T159="낙찰",ISNUMBER(M159),M159&gt;0,ISNUMBER(U159)),IF(M159&lt;U159,"실제 낙찰가 미만",IF(M159=U159,"실제 낙찰가 동액","실제 낙찰가 초과")),"")</f>
        <v/>
      </c>
      <c r="AB159" s="7">
        <f>IF(AND(ISNUMBER(M159),M159&gt;0,ISNUMBER(R159)),IF(M159&lt;R159,"상한가 미만",IF(M159=R159,"상한가 동액","상한가 초과")),"")</f>
        <v/>
      </c>
      <c r="AC159" s="3" t="n"/>
      <c r="AD159" s="7">
        <f>IF(COUNTA(A159:Q159,S159:V159,AC159)=0,"",IF(OR(A159="",B159="",C159="",NOT(ISNUMBER(G159))),"식별값 확인",IF(COUNTIFS(A$2:A$301,A159,B$2:B$301,B159,C$2:C$301,C159,G$2:G$301,G159)&gt;1,"중복 회차",IF(AND(ISNUMBER(K159),K159&gt;G159),"기일 후 예측",IF(AND(T159="낙찰",W159=""),"평가 입력 확인","")))))</f>
        <v/>
      </c>
    </row>
    <row r="160">
      <c r="A160" s="2" t="n"/>
      <c r="B160" s="2" t="n"/>
      <c r="C160" s="2" t="n"/>
      <c r="D160" s="2" t="n"/>
      <c r="E160" s="2" t="n"/>
      <c r="F160" s="2" t="n"/>
      <c r="G160" s="4" t="n"/>
      <c r="H160" s="5" t="n"/>
      <c r="I160" s="5" t="n"/>
      <c r="J160" s="2" t="n"/>
      <c r="K160" s="4" t="n"/>
      <c r="L160" s="5" t="n"/>
      <c r="M160" s="5" t="n"/>
      <c r="N160" s="2" t="n"/>
      <c r="O160" s="5" t="n"/>
      <c r="P160" s="5" t="n"/>
      <c r="Q160" s="5" t="n"/>
      <c r="R160" s="6">
        <f>IF(COUNT(O160:Q160)=3,O160-P160-Q160,"")</f>
        <v/>
      </c>
      <c r="S160" s="2" t="n"/>
      <c r="T160" s="2" t="n"/>
      <c r="U160" s="5" t="n"/>
      <c r="V160" s="2" t="n"/>
      <c r="W160" s="7">
        <f>IF(AND(A160&lt;&gt;"",B160&lt;&gt;"",C160&lt;&gt;"",ISNUMBER(G160),ISNUMBER(K160),K160&lt;=G160,K160&gt;0,T160="낙찰",ISNUMBER(L160),L160&gt;0,ISNUMBER(U160),U160&gt;0,COUNTIFS(A$2:A$301,A160,B$2:B$301,B160,C$2:C$301,C160,G$2:G$301,G160)=1),"평가 가능","")</f>
        <v/>
      </c>
      <c r="X160" s="8">
        <f>IF(W160="평가 가능",(L160-U160)/U160,"")</f>
        <v/>
      </c>
      <c r="Y160" s="8">
        <f>IF(W160="평가 가능",ABS(X160),"")</f>
        <v/>
      </c>
      <c r="Z160" s="7">
        <f>IF(AND(ISNUMBER(M160),M160&gt;0,ISNUMBER(I160)),IF(M160&lt;I160,"최저가 미달",IF(M160=I160,"최저가 동액","최저가 초과")),"")</f>
        <v/>
      </c>
      <c r="AA160" s="7">
        <f>IF(AND(T160="낙찰",ISNUMBER(M160),M160&gt;0,ISNUMBER(U160)),IF(M160&lt;U160,"실제 낙찰가 미만",IF(M160=U160,"실제 낙찰가 동액","실제 낙찰가 초과")),"")</f>
        <v/>
      </c>
      <c r="AB160" s="7">
        <f>IF(AND(ISNUMBER(M160),M160&gt;0,ISNUMBER(R160)),IF(M160&lt;R160,"상한가 미만",IF(M160=R160,"상한가 동액","상한가 초과")),"")</f>
        <v/>
      </c>
      <c r="AC160" s="2" t="n"/>
      <c r="AD160" s="7">
        <f>IF(COUNTA(A160:Q160,S160:V160,AC160)=0,"",IF(OR(A160="",B160="",C160="",NOT(ISNUMBER(G160))),"식별값 확인",IF(COUNTIFS(A$2:A$301,A160,B$2:B$301,B160,C$2:C$301,C160,G$2:G$301,G160)&gt;1,"중복 회차",IF(AND(ISNUMBER(K160),K160&gt;G160),"기일 후 예측",IF(AND(T160="낙찰",W160=""),"평가 입력 확인","")))))</f>
        <v/>
      </c>
    </row>
    <row r="161">
      <c r="A161" s="3" t="n"/>
      <c r="B161" s="3" t="n"/>
      <c r="C161" s="3" t="n"/>
      <c r="D161" s="3" t="n"/>
      <c r="E161" s="3" t="n"/>
      <c r="F161" s="3" t="n"/>
      <c r="G161" s="9" t="n"/>
      <c r="H161" s="10" t="n"/>
      <c r="I161" s="10" t="n"/>
      <c r="J161" s="3" t="n"/>
      <c r="K161" s="9" t="n"/>
      <c r="L161" s="10" t="n"/>
      <c r="M161" s="10" t="n"/>
      <c r="N161" s="3" t="n"/>
      <c r="O161" s="10" t="n"/>
      <c r="P161" s="10" t="n"/>
      <c r="Q161" s="10" t="n"/>
      <c r="R161" s="6">
        <f>IF(COUNT(O161:Q161)=3,O161-P161-Q161,"")</f>
        <v/>
      </c>
      <c r="S161" s="3" t="n"/>
      <c r="T161" s="3" t="n"/>
      <c r="U161" s="10" t="n"/>
      <c r="V161" s="3" t="n"/>
      <c r="W161" s="7">
        <f>IF(AND(A161&lt;&gt;"",B161&lt;&gt;"",C161&lt;&gt;"",ISNUMBER(G161),ISNUMBER(K161),K161&lt;=G161,K161&gt;0,T161="낙찰",ISNUMBER(L161),L161&gt;0,ISNUMBER(U161),U161&gt;0,COUNTIFS(A$2:A$301,A161,B$2:B$301,B161,C$2:C$301,C161,G$2:G$301,G161)=1),"평가 가능","")</f>
        <v/>
      </c>
      <c r="X161" s="8">
        <f>IF(W161="평가 가능",(L161-U161)/U161,"")</f>
        <v/>
      </c>
      <c r="Y161" s="8">
        <f>IF(W161="평가 가능",ABS(X161),"")</f>
        <v/>
      </c>
      <c r="Z161" s="7">
        <f>IF(AND(ISNUMBER(M161),M161&gt;0,ISNUMBER(I161)),IF(M161&lt;I161,"최저가 미달",IF(M161=I161,"최저가 동액","최저가 초과")),"")</f>
        <v/>
      </c>
      <c r="AA161" s="7">
        <f>IF(AND(T161="낙찰",ISNUMBER(M161),M161&gt;0,ISNUMBER(U161)),IF(M161&lt;U161,"실제 낙찰가 미만",IF(M161=U161,"실제 낙찰가 동액","실제 낙찰가 초과")),"")</f>
        <v/>
      </c>
      <c r="AB161" s="7">
        <f>IF(AND(ISNUMBER(M161),M161&gt;0,ISNUMBER(R161)),IF(M161&lt;R161,"상한가 미만",IF(M161=R161,"상한가 동액","상한가 초과")),"")</f>
        <v/>
      </c>
      <c r="AC161" s="3" t="n"/>
      <c r="AD161" s="7">
        <f>IF(COUNTA(A161:Q161,S161:V161,AC161)=0,"",IF(OR(A161="",B161="",C161="",NOT(ISNUMBER(G161))),"식별값 확인",IF(COUNTIFS(A$2:A$301,A161,B$2:B$301,B161,C$2:C$301,C161,G$2:G$301,G161)&gt;1,"중복 회차",IF(AND(ISNUMBER(K161),K161&gt;G161),"기일 후 예측",IF(AND(T161="낙찰",W161=""),"평가 입력 확인","")))))</f>
        <v/>
      </c>
    </row>
    <row r="162">
      <c r="A162" s="2" t="n"/>
      <c r="B162" s="2" t="n"/>
      <c r="C162" s="2" t="n"/>
      <c r="D162" s="2" t="n"/>
      <c r="E162" s="2" t="n"/>
      <c r="F162" s="2" t="n"/>
      <c r="G162" s="4" t="n"/>
      <c r="H162" s="5" t="n"/>
      <c r="I162" s="5" t="n"/>
      <c r="J162" s="2" t="n"/>
      <c r="K162" s="4" t="n"/>
      <c r="L162" s="5" t="n"/>
      <c r="M162" s="5" t="n"/>
      <c r="N162" s="2" t="n"/>
      <c r="O162" s="5" t="n"/>
      <c r="P162" s="5" t="n"/>
      <c r="Q162" s="5" t="n"/>
      <c r="R162" s="6">
        <f>IF(COUNT(O162:Q162)=3,O162-P162-Q162,"")</f>
        <v/>
      </c>
      <c r="S162" s="2" t="n"/>
      <c r="T162" s="2" t="n"/>
      <c r="U162" s="5" t="n"/>
      <c r="V162" s="2" t="n"/>
      <c r="W162" s="7">
        <f>IF(AND(A162&lt;&gt;"",B162&lt;&gt;"",C162&lt;&gt;"",ISNUMBER(G162),ISNUMBER(K162),K162&lt;=G162,K162&gt;0,T162="낙찰",ISNUMBER(L162),L162&gt;0,ISNUMBER(U162),U162&gt;0,COUNTIFS(A$2:A$301,A162,B$2:B$301,B162,C$2:C$301,C162,G$2:G$301,G162)=1),"평가 가능","")</f>
        <v/>
      </c>
      <c r="X162" s="8">
        <f>IF(W162="평가 가능",(L162-U162)/U162,"")</f>
        <v/>
      </c>
      <c r="Y162" s="8">
        <f>IF(W162="평가 가능",ABS(X162),"")</f>
        <v/>
      </c>
      <c r="Z162" s="7">
        <f>IF(AND(ISNUMBER(M162),M162&gt;0,ISNUMBER(I162)),IF(M162&lt;I162,"최저가 미달",IF(M162=I162,"최저가 동액","최저가 초과")),"")</f>
        <v/>
      </c>
      <c r="AA162" s="7">
        <f>IF(AND(T162="낙찰",ISNUMBER(M162),M162&gt;0,ISNUMBER(U162)),IF(M162&lt;U162,"실제 낙찰가 미만",IF(M162=U162,"실제 낙찰가 동액","실제 낙찰가 초과")),"")</f>
        <v/>
      </c>
      <c r="AB162" s="7">
        <f>IF(AND(ISNUMBER(M162),M162&gt;0,ISNUMBER(R162)),IF(M162&lt;R162,"상한가 미만",IF(M162=R162,"상한가 동액","상한가 초과")),"")</f>
        <v/>
      </c>
      <c r="AC162" s="2" t="n"/>
      <c r="AD162" s="7">
        <f>IF(COUNTA(A162:Q162,S162:V162,AC162)=0,"",IF(OR(A162="",B162="",C162="",NOT(ISNUMBER(G162))),"식별값 확인",IF(COUNTIFS(A$2:A$301,A162,B$2:B$301,B162,C$2:C$301,C162,G$2:G$301,G162)&gt;1,"중복 회차",IF(AND(ISNUMBER(K162),K162&gt;G162),"기일 후 예측",IF(AND(T162="낙찰",W162=""),"평가 입력 확인","")))))</f>
        <v/>
      </c>
    </row>
    <row r="163">
      <c r="A163" s="3" t="n"/>
      <c r="B163" s="3" t="n"/>
      <c r="C163" s="3" t="n"/>
      <c r="D163" s="3" t="n"/>
      <c r="E163" s="3" t="n"/>
      <c r="F163" s="3" t="n"/>
      <c r="G163" s="9" t="n"/>
      <c r="H163" s="10" t="n"/>
      <c r="I163" s="10" t="n"/>
      <c r="J163" s="3" t="n"/>
      <c r="K163" s="9" t="n"/>
      <c r="L163" s="10" t="n"/>
      <c r="M163" s="10" t="n"/>
      <c r="N163" s="3" t="n"/>
      <c r="O163" s="10" t="n"/>
      <c r="P163" s="10" t="n"/>
      <c r="Q163" s="10" t="n"/>
      <c r="R163" s="6">
        <f>IF(COUNT(O163:Q163)=3,O163-P163-Q163,"")</f>
        <v/>
      </c>
      <c r="S163" s="3" t="n"/>
      <c r="T163" s="3" t="n"/>
      <c r="U163" s="10" t="n"/>
      <c r="V163" s="3" t="n"/>
      <c r="W163" s="7">
        <f>IF(AND(A163&lt;&gt;"",B163&lt;&gt;"",C163&lt;&gt;"",ISNUMBER(G163),ISNUMBER(K163),K163&lt;=G163,K163&gt;0,T163="낙찰",ISNUMBER(L163),L163&gt;0,ISNUMBER(U163),U163&gt;0,COUNTIFS(A$2:A$301,A163,B$2:B$301,B163,C$2:C$301,C163,G$2:G$301,G163)=1),"평가 가능","")</f>
        <v/>
      </c>
      <c r="X163" s="8">
        <f>IF(W163="평가 가능",(L163-U163)/U163,"")</f>
        <v/>
      </c>
      <c r="Y163" s="8">
        <f>IF(W163="평가 가능",ABS(X163),"")</f>
        <v/>
      </c>
      <c r="Z163" s="7">
        <f>IF(AND(ISNUMBER(M163),M163&gt;0,ISNUMBER(I163)),IF(M163&lt;I163,"최저가 미달",IF(M163=I163,"최저가 동액","최저가 초과")),"")</f>
        <v/>
      </c>
      <c r="AA163" s="7">
        <f>IF(AND(T163="낙찰",ISNUMBER(M163),M163&gt;0,ISNUMBER(U163)),IF(M163&lt;U163,"실제 낙찰가 미만",IF(M163=U163,"실제 낙찰가 동액","실제 낙찰가 초과")),"")</f>
        <v/>
      </c>
      <c r="AB163" s="7">
        <f>IF(AND(ISNUMBER(M163),M163&gt;0,ISNUMBER(R163)),IF(M163&lt;R163,"상한가 미만",IF(M163=R163,"상한가 동액","상한가 초과")),"")</f>
        <v/>
      </c>
      <c r="AC163" s="3" t="n"/>
      <c r="AD163" s="7">
        <f>IF(COUNTA(A163:Q163,S163:V163,AC163)=0,"",IF(OR(A163="",B163="",C163="",NOT(ISNUMBER(G163))),"식별값 확인",IF(COUNTIFS(A$2:A$301,A163,B$2:B$301,B163,C$2:C$301,C163,G$2:G$301,G163)&gt;1,"중복 회차",IF(AND(ISNUMBER(K163),K163&gt;G163),"기일 후 예측",IF(AND(T163="낙찰",W163=""),"평가 입력 확인","")))))</f>
        <v/>
      </c>
    </row>
    <row r="164">
      <c r="A164" s="2" t="n"/>
      <c r="B164" s="2" t="n"/>
      <c r="C164" s="2" t="n"/>
      <c r="D164" s="2" t="n"/>
      <c r="E164" s="2" t="n"/>
      <c r="F164" s="2" t="n"/>
      <c r="G164" s="4" t="n"/>
      <c r="H164" s="5" t="n"/>
      <c r="I164" s="5" t="n"/>
      <c r="J164" s="2" t="n"/>
      <c r="K164" s="4" t="n"/>
      <c r="L164" s="5" t="n"/>
      <c r="M164" s="5" t="n"/>
      <c r="N164" s="2" t="n"/>
      <c r="O164" s="5" t="n"/>
      <c r="P164" s="5" t="n"/>
      <c r="Q164" s="5" t="n"/>
      <c r="R164" s="6">
        <f>IF(COUNT(O164:Q164)=3,O164-P164-Q164,"")</f>
        <v/>
      </c>
      <c r="S164" s="2" t="n"/>
      <c r="T164" s="2" t="n"/>
      <c r="U164" s="5" t="n"/>
      <c r="V164" s="2" t="n"/>
      <c r="W164" s="7">
        <f>IF(AND(A164&lt;&gt;"",B164&lt;&gt;"",C164&lt;&gt;"",ISNUMBER(G164),ISNUMBER(K164),K164&lt;=G164,K164&gt;0,T164="낙찰",ISNUMBER(L164),L164&gt;0,ISNUMBER(U164),U164&gt;0,COUNTIFS(A$2:A$301,A164,B$2:B$301,B164,C$2:C$301,C164,G$2:G$301,G164)=1),"평가 가능","")</f>
        <v/>
      </c>
      <c r="X164" s="8">
        <f>IF(W164="평가 가능",(L164-U164)/U164,"")</f>
        <v/>
      </c>
      <c r="Y164" s="8">
        <f>IF(W164="평가 가능",ABS(X164),"")</f>
        <v/>
      </c>
      <c r="Z164" s="7">
        <f>IF(AND(ISNUMBER(M164),M164&gt;0,ISNUMBER(I164)),IF(M164&lt;I164,"최저가 미달",IF(M164=I164,"최저가 동액","최저가 초과")),"")</f>
        <v/>
      </c>
      <c r="AA164" s="7">
        <f>IF(AND(T164="낙찰",ISNUMBER(M164),M164&gt;0,ISNUMBER(U164)),IF(M164&lt;U164,"실제 낙찰가 미만",IF(M164=U164,"실제 낙찰가 동액","실제 낙찰가 초과")),"")</f>
        <v/>
      </c>
      <c r="AB164" s="7">
        <f>IF(AND(ISNUMBER(M164),M164&gt;0,ISNUMBER(R164)),IF(M164&lt;R164,"상한가 미만",IF(M164=R164,"상한가 동액","상한가 초과")),"")</f>
        <v/>
      </c>
      <c r="AC164" s="2" t="n"/>
      <c r="AD164" s="7">
        <f>IF(COUNTA(A164:Q164,S164:V164,AC164)=0,"",IF(OR(A164="",B164="",C164="",NOT(ISNUMBER(G164))),"식별값 확인",IF(COUNTIFS(A$2:A$301,A164,B$2:B$301,B164,C$2:C$301,C164,G$2:G$301,G164)&gt;1,"중복 회차",IF(AND(ISNUMBER(K164),K164&gt;G164),"기일 후 예측",IF(AND(T164="낙찰",W164=""),"평가 입력 확인","")))))</f>
        <v/>
      </c>
    </row>
    <row r="165">
      <c r="A165" s="3" t="n"/>
      <c r="B165" s="3" t="n"/>
      <c r="C165" s="3" t="n"/>
      <c r="D165" s="3" t="n"/>
      <c r="E165" s="3" t="n"/>
      <c r="F165" s="3" t="n"/>
      <c r="G165" s="9" t="n"/>
      <c r="H165" s="10" t="n"/>
      <c r="I165" s="10" t="n"/>
      <c r="J165" s="3" t="n"/>
      <c r="K165" s="9" t="n"/>
      <c r="L165" s="10" t="n"/>
      <c r="M165" s="10" t="n"/>
      <c r="N165" s="3" t="n"/>
      <c r="O165" s="10" t="n"/>
      <c r="P165" s="10" t="n"/>
      <c r="Q165" s="10" t="n"/>
      <c r="R165" s="6">
        <f>IF(COUNT(O165:Q165)=3,O165-P165-Q165,"")</f>
        <v/>
      </c>
      <c r="S165" s="3" t="n"/>
      <c r="T165" s="3" t="n"/>
      <c r="U165" s="10" t="n"/>
      <c r="V165" s="3" t="n"/>
      <c r="W165" s="7">
        <f>IF(AND(A165&lt;&gt;"",B165&lt;&gt;"",C165&lt;&gt;"",ISNUMBER(G165),ISNUMBER(K165),K165&lt;=G165,K165&gt;0,T165="낙찰",ISNUMBER(L165),L165&gt;0,ISNUMBER(U165),U165&gt;0,COUNTIFS(A$2:A$301,A165,B$2:B$301,B165,C$2:C$301,C165,G$2:G$301,G165)=1),"평가 가능","")</f>
        <v/>
      </c>
      <c r="X165" s="8">
        <f>IF(W165="평가 가능",(L165-U165)/U165,"")</f>
        <v/>
      </c>
      <c r="Y165" s="8">
        <f>IF(W165="평가 가능",ABS(X165),"")</f>
        <v/>
      </c>
      <c r="Z165" s="7">
        <f>IF(AND(ISNUMBER(M165),M165&gt;0,ISNUMBER(I165)),IF(M165&lt;I165,"최저가 미달",IF(M165=I165,"최저가 동액","최저가 초과")),"")</f>
        <v/>
      </c>
      <c r="AA165" s="7">
        <f>IF(AND(T165="낙찰",ISNUMBER(M165),M165&gt;0,ISNUMBER(U165)),IF(M165&lt;U165,"실제 낙찰가 미만",IF(M165=U165,"실제 낙찰가 동액","실제 낙찰가 초과")),"")</f>
        <v/>
      </c>
      <c r="AB165" s="7">
        <f>IF(AND(ISNUMBER(M165),M165&gt;0,ISNUMBER(R165)),IF(M165&lt;R165,"상한가 미만",IF(M165=R165,"상한가 동액","상한가 초과")),"")</f>
        <v/>
      </c>
      <c r="AC165" s="3" t="n"/>
      <c r="AD165" s="7">
        <f>IF(COUNTA(A165:Q165,S165:V165,AC165)=0,"",IF(OR(A165="",B165="",C165="",NOT(ISNUMBER(G165))),"식별값 확인",IF(COUNTIFS(A$2:A$301,A165,B$2:B$301,B165,C$2:C$301,C165,G$2:G$301,G165)&gt;1,"중복 회차",IF(AND(ISNUMBER(K165),K165&gt;G165),"기일 후 예측",IF(AND(T165="낙찰",W165=""),"평가 입력 확인","")))))</f>
        <v/>
      </c>
    </row>
    <row r="166">
      <c r="A166" s="2" t="n"/>
      <c r="B166" s="2" t="n"/>
      <c r="C166" s="2" t="n"/>
      <c r="D166" s="2" t="n"/>
      <c r="E166" s="2" t="n"/>
      <c r="F166" s="2" t="n"/>
      <c r="G166" s="4" t="n"/>
      <c r="H166" s="5" t="n"/>
      <c r="I166" s="5" t="n"/>
      <c r="J166" s="2" t="n"/>
      <c r="K166" s="4" t="n"/>
      <c r="L166" s="5" t="n"/>
      <c r="M166" s="5" t="n"/>
      <c r="N166" s="2" t="n"/>
      <c r="O166" s="5" t="n"/>
      <c r="P166" s="5" t="n"/>
      <c r="Q166" s="5" t="n"/>
      <c r="R166" s="6">
        <f>IF(COUNT(O166:Q166)=3,O166-P166-Q166,"")</f>
        <v/>
      </c>
      <c r="S166" s="2" t="n"/>
      <c r="T166" s="2" t="n"/>
      <c r="U166" s="5" t="n"/>
      <c r="V166" s="2" t="n"/>
      <c r="W166" s="7">
        <f>IF(AND(A166&lt;&gt;"",B166&lt;&gt;"",C166&lt;&gt;"",ISNUMBER(G166),ISNUMBER(K166),K166&lt;=G166,K166&gt;0,T166="낙찰",ISNUMBER(L166),L166&gt;0,ISNUMBER(U166),U166&gt;0,COUNTIFS(A$2:A$301,A166,B$2:B$301,B166,C$2:C$301,C166,G$2:G$301,G166)=1),"평가 가능","")</f>
        <v/>
      </c>
      <c r="X166" s="8">
        <f>IF(W166="평가 가능",(L166-U166)/U166,"")</f>
        <v/>
      </c>
      <c r="Y166" s="8">
        <f>IF(W166="평가 가능",ABS(X166),"")</f>
        <v/>
      </c>
      <c r="Z166" s="7">
        <f>IF(AND(ISNUMBER(M166),M166&gt;0,ISNUMBER(I166)),IF(M166&lt;I166,"최저가 미달",IF(M166=I166,"최저가 동액","최저가 초과")),"")</f>
        <v/>
      </c>
      <c r="AA166" s="7">
        <f>IF(AND(T166="낙찰",ISNUMBER(M166),M166&gt;0,ISNUMBER(U166)),IF(M166&lt;U166,"실제 낙찰가 미만",IF(M166=U166,"실제 낙찰가 동액","실제 낙찰가 초과")),"")</f>
        <v/>
      </c>
      <c r="AB166" s="7">
        <f>IF(AND(ISNUMBER(M166),M166&gt;0,ISNUMBER(R166)),IF(M166&lt;R166,"상한가 미만",IF(M166=R166,"상한가 동액","상한가 초과")),"")</f>
        <v/>
      </c>
      <c r="AC166" s="2" t="n"/>
      <c r="AD166" s="7">
        <f>IF(COUNTA(A166:Q166,S166:V166,AC166)=0,"",IF(OR(A166="",B166="",C166="",NOT(ISNUMBER(G166))),"식별값 확인",IF(COUNTIFS(A$2:A$301,A166,B$2:B$301,B166,C$2:C$301,C166,G$2:G$301,G166)&gt;1,"중복 회차",IF(AND(ISNUMBER(K166),K166&gt;G166),"기일 후 예측",IF(AND(T166="낙찰",W166=""),"평가 입력 확인","")))))</f>
        <v/>
      </c>
    </row>
    <row r="167">
      <c r="A167" s="3" t="n"/>
      <c r="B167" s="3" t="n"/>
      <c r="C167" s="3" t="n"/>
      <c r="D167" s="3" t="n"/>
      <c r="E167" s="3" t="n"/>
      <c r="F167" s="3" t="n"/>
      <c r="G167" s="9" t="n"/>
      <c r="H167" s="10" t="n"/>
      <c r="I167" s="10" t="n"/>
      <c r="J167" s="3" t="n"/>
      <c r="K167" s="9" t="n"/>
      <c r="L167" s="10" t="n"/>
      <c r="M167" s="10" t="n"/>
      <c r="N167" s="3" t="n"/>
      <c r="O167" s="10" t="n"/>
      <c r="P167" s="10" t="n"/>
      <c r="Q167" s="10" t="n"/>
      <c r="R167" s="6">
        <f>IF(COUNT(O167:Q167)=3,O167-P167-Q167,"")</f>
        <v/>
      </c>
      <c r="S167" s="3" t="n"/>
      <c r="T167" s="3" t="n"/>
      <c r="U167" s="10" t="n"/>
      <c r="V167" s="3" t="n"/>
      <c r="W167" s="7">
        <f>IF(AND(A167&lt;&gt;"",B167&lt;&gt;"",C167&lt;&gt;"",ISNUMBER(G167),ISNUMBER(K167),K167&lt;=G167,K167&gt;0,T167="낙찰",ISNUMBER(L167),L167&gt;0,ISNUMBER(U167),U167&gt;0,COUNTIFS(A$2:A$301,A167,B$2:B$301,B167,C$2:C$301,C167,G$2:G$301,G167)=1),"평가 가능","")</f>
        <v/>
      </c>
      <c r="X167" s="8">
        <f>IF(W167="평가 가능",(L167-U167)/U167,"")</f>
        <v/>
      </c>
      <c r="Y167" s="8">
        <f>IF(W167="평가 가능",ABS(X167),"")</f>
        <v/>
      </c>
      <c r="Z167" s="7">
        <f>IF(AND(ISNUMBER(M167),M167&gt;0,ISNUMBER(I167)),IF(M167&lt;I167,"최저가 미달",IF(M167=I167,"최저가 동액","최저가 초과")),"")</f>
        <v/>
      </c>
      <c r="AA167" s="7">
        <f>IF(AND(T167="낙찰",ISNUMBER(M167),M167&gt;0,ISNUMBER(U167)),IF(M167&lt;U167,"실제 낙찰가 미만",IF(M167=U167,"실제 낙찰가 동액","실제 낙찰가 초과")),"")</f>
        <v/>
      </c>
      <c r="AB167" s="7">
        <f>IF(AND(ISNUMBER(M167),M167&gt;0,ISNUMBER(R167)),IF(M167&lt;R167,"상한가 미만",IF(M167=R167,"상한가 동액","상한가 초과")),"")</f>
        <v/>
      </c>
      <c r="AC167" s="3" t="n"/>
      <c r="AD167" s="7">
        <f>IF(COUNTA(A167:Q167,S167:V167,AC167)=0,"",IF(OR(A167="",B167="",C167="",NOT(ISNUMBER(G167))),"식별값 확인",IF(COUNTIFS(A$2:A$301,A167,B$2:B$301,B167,C$2:C$301,C167,G$2:G$301,G167)&gt;1,"중복 회차",IF(AND(ISNUMBER(K167),K167&gt;G167),"기일 후 예측",IF(AND(T167="낙찰",W167=""),"평가 입력 확인","")))))</f>
        <v/>
      </c>
    </row>
    <row r="168">
      <c r="A168" s="2" t="n"/>
      <c r="B168" s="2" t="n"/>
      <c r="C168" s="2" t="n"/>
      <c r="D168" s="2" t="n"/>
      <c r="E168" s="2" t="n"/>
      <c r="F168" s="2" t="n"/>
      <c r="G168" s="4" t="n"/>
      <c r="H168" s="5" t="n"/>
      <c r="I168" s="5" t="n"/>
      <c r="J168" s="2" t="n"/>
      <c r="K168" s="4" t="n"/>
      <c r="L168" s="5" t="n"/>
      <c r="M168" s="5" t="n"/>
      <c r="N168" s="2" t="n"/>
      <c r="O168" s="5" t="n"/>
      <c r="P168" s="5" t="n"/>
      <c r="Q168" s="5" t="n"/>
      <c r="R168" s="6">
        <f>IF(COUNT(O168:Q168)=3,O168-P168-Q168,"")</f>
        <v/>
      </c>
      <c r="S168" s="2" t="n"/>
      <c r="T168" s="2" t="n"/>
      <c r="U168" s="5" t="n"/>
      <c r="V168" s="2" t="n"/>
      <c r="W168" s="7">
        <f>IF(AND(A168&lt;&gt;"",B168&lt;&gt;"",C168&lt;&gt;"",ISNUMBER(G168),ISNUMBER(K168),K168&lt;=G168,K168&gt;0,T168="낙찰",ISNUMBER(L168),L168&gt;0,ISNUMBER(U168),U168&gt;0,COUNTIFS(A$2:A$301,A168,B$2:B$301,B168,C$2:C$301,C168,G$2:G$301,G168)=1),"평가 가능","")</f>
        <v/>
      </c>
      <c r="X168" s="8">
        <f>IF(W168="평가 가능",(L168-U168)/U168,"")</f>
        <v/>
      </c>
      <c r="Y168" s="8">
        <f>IF(W168="평가 가능",ABS(X168),"")</f>
        <v/>
      </c>
      <c r="Z168" s="7">
        <f>IF(AND(ISNUMBER(M168),M168&gt;0,ISNUMBER(I168)),IF(M168&lt;I168,"최저가 미달",IF(M168=I168,"최저가 동액","최저가 초과")),"")</f>
        <v/>
      </c>
      <c r="AA168" s="7">
        <f>IF(AND(T168="낙찰",ISNUMBER(M168),M168&gt;0,ISNUMBER(U168)),IF(M168&lt;U168,"실제 낙찰가 미만",IF(M168=U168,"실제 낙찰가 동액","실제 낙찰가 초과")),"")</f>
        <v/>
      </c>
      <c r="AB168" s="7">
        <f>IF(AND(ISNUMBER(M168),M168&gt;0,ISNUMBER(R168)),IF(M168&lt;R168,"상한가 미만",IF(M168=R168,"상한가 동액","상한가 초과")),"")</f>
        <v/>
      </c>
      <c r="AC168" s="2" t="n"/>
      <c r="AD168" s="7">
        <f>IF(COUNTA(A168:Q168,S168:V168,AC168)=0,"",IF(OR(A168="",B168="",C168="",NOT(ISNUMBER(G168))),"식별값 확인",IF(COUNTIFS(A$2:A$301,A168,B$2:B$301,B168,C$2:C$301,C168,G$2:G$301,G168)&gt;1,"중복 회차",IF(AND(ISNUMBER(K168),K168&gt;G168),"기일 후 예측",IF(AND(T168="낙찰",W168=""),"평가 입력 확인","")))))</f>
        <v/>
      </c>
    </row>
    <row r="169">
      <c r="A169" s="3" t="n"/>
      <c r="B169" s="3" t="n"/>
      <c r="C169" s="3" t="n"/>
      <c r="D169" s="3" t="n"/>
      <c r="E169" s="3" t="n"/>
      <c r="F169" s="3" t="n"/>
      <c r="G169" s="9" t="n"/>
      <c r="H169" s="10" t="n"/>
      <c r="I169" s="10" t="n"/>
      <c r="J169" s="3" t="n"/>
      <c r="K169" s="9" t="n"/>
      <c r="L169" s="10" t="n"/>
      <c r="M169" s="10" t="n"/>
      <c r="N169" s="3" t="n"/>
      <c r="O169" s="10" t="n"/>
      <c r="P169" s="10" t="n"/>
      <c r="Q169" s="10" t="n"/>
      <c r="R169" s="6">
        <f>IF(COUNT(O169:Q169)=3,O169-P169-Q169,"")</f>
        <v/>
      </c>
      <c r="S169" s="3" t="n"/>
      <c r="T169" s="3" t="n"/>
      <c r="U169" s="10" t="n"/>
      <c r="V169" s="3" t="n"/>
      <c r="W169" s="7">
        <f>IF(AND(A169&lt;&gt;"",B169&lt;&gt;"",C169&lt;&gt;"",ISNUMBER(G169),ISNUMBER(K169),K169&lt;=G169,K169&gt;0,T169="낙찰",ISNUMBER(L169),L169&gt;0,ISNUMBER(U169),U169&gt;0,COUNTIFS(A$2:A$301,A169,B$2:B$301,B169,C$2:C$301,C169,G$2:G$301,G169)=1),"평가 가능","")</f>
        <v/>
      </c>
      <c r="X169" s="8">
        <f>IF(W169="평가 가능",(L169-U169)/U169,"")</f>
        <v/>
      </c>
      <c r="Y169" s="8">
        <f>IF(W169="평가 가능",ABS(X169),"")</f>
        <v/>
      </c>
      <c r="Z169" s="7">
        <f>IF(AND(ISNUMBER(M169),M169&gt;0,ISNUMBER(I169)),IF(M169&lt;I169,"최저가 미달",IF(M169=I169,"최저가 동액","최저가 초과")),"")</f>
        <v/>
      </c>
      <c r="AA169" s="7">
        <f>IF(AND(T169="낙찰",ISNUMBER(M169),M169&gt;0,ISNUMBER(U169)),IF(M169&lt;U169,"실제 낙찰가 미만",IF(M169=U169,"실제 낙찰가 동액","실제 낙찰가 초과")),"")</f>
        <v/>
      </c>
      <c r="AB169" s="7">
        <f>IF(AND(ISNUMBER(M169),M169&gt;0,ISNUMBER(R169)),IF(M169&lt;R169,"상한가 미만",IF(M169=R169,"상한가 동액","상한가 초과")),"")</f>
        <v/>
      </c>
      <c r="AC169" s="3" t="n"/>
      <c r="AD169" s="7">
        <f>IF(COUNTA(A169:Q169,S169:V169,AC169)=0,"",IF(OR(A169="",B169="",C169="",NOT(ISNUMBER(G169))),"식별값 확인",IF(COUNTIFS(A$2:A$301,A169,B$2:B$301,B169,C$2:C$301,C169,G$2:G$301,G169)&gt;1,"중복 회차",IF(AND(ISNUMBER(K169),K169&gt;G169),"기일 후 예측",IF(AND(T169="낙찰",W169=""),"평가 입력 확인","")))))</f>
        <v/>
      </c>
    </row>
    <row r="170">
      <c r="A170" s="2" t="n"/>
      <c r="B170" s="2" t="n"/>
      <c r="C170" s="2" t="n"/>
      <c r="D170" s="2" t="n"/>
      <c r="E170" s="2" t="n"/>
      <c r="F170" s="2" t="n"/>
      <c r="G170" s="4" t="n"/>
      <c r="H170" s="5" t="n"/>
      <c r="I170" s="5" t="n"/>
      <c r="J170" s="2" t="n"/>
      <c r="K170" s="4" t="n"/>
      <c r="L170" s="5" t="n"/>
      <c r="M170" s="5" t="n"/>
      <c r="N170" s="2" t="n"/>
      <c r="O170" s="5" t="n"/>
      <c r="P170" s="5" t="n"/>
      <c r="Q170" s="5" t="n"/>
      <c r="R170" s="6">
        <f>IF(COUNT(O170:Q170)=3,O170-P170-Q170,"")</f>
        <v/>
      </c>
      <c r="S170" s="2" t="n"/>
      <c r="T170" s="2" t="n"/>
      <c r="U170" s="5" t="n"/>
      <c r="V170" s="2" t="n"/>
      <c r="W170" s="7">
        <f>IF(AND(A170&lt;&gt;"",B170&lt;&gt;"",C170&lt;&gt;"",ISNUMBER(G170),ISNUMBER(K170),K170&lt;=G170,K170&gt;0,T170="낙찰",ISNUMBER(L170),L170&gt;0,ISNUMBER(U170),U170&gt;0,COUNTIFS(A$2:A$301,A170,B$2:B$301,B170,C$2:C$301,C170,G$2:G$301,G170)=1),"평가 가능","")</f>
        <v/>
      </c>
      <c r="X170" s="8">
        <f>IF(W170="평가 가능",(L170-U170)/U170,"")</f>
        <v/>
      </c>
      <c r="Y170" s="8">
        <f>IF(W170="평가 가능",ABS(X170),"")</f>
        <v/>
      </c>
      <c r="Z170" s="7">
        <f>IF(AND(ISNUMBER(M170),M170&gt;0,ISNUMBER(I170)),IF(M170&lt;I170,"최저가 미달",IF(M170=I170,"최저가 동액","최저가 초과")),"")</f>
        <v/>
      </c>
      <c r="AA170" s="7">
        <f>IF(AND(T170="낙찰",ISNUMBER(M170),M170&gt;0,ISNUMBER(U170)),IF(M170&lt;U170,"실제 낙찰가 미만",IF(M170=U170,"실제 낙찰가 동액","실제 낙찰가 초과")),"")</f>
        <v/>
      </c>
      <c r="AB170" s="7">
        <f>IF(AND(ISNUMBER(M170),M170&gt;0,ISNUMBER(R170)),IF(M170&lt;R170,"상한가 미만",IF(M170=R170,"상한가 동액","상한가 초과")),"")</f>
        <v/>
      </c>
      <c r="AC170" s="2" t="n"/>
      <c r="AD170" s="7">
        <f>IF(COUNTA(A170:Q170,S170:V170,AC170)=0,"",IF(OR(A170="",B170="",C170="",NOT(ISNUMBER(G170))),"식별값 확인",IF(COUNTIFS(A$2:A$301,A170,B$2:B$301,B170,C$2:C$301,C170,G$2:G$301,G170)&gt;1,"중복 회차",IF(AND(ISNUMBER(K170),K170&gt;G170),"기일 후 예측",IF(AND(T170="낙찰",W170=""),"평가 입력 확인","")))))</f>
        <v/>
      </c>
    </row>
    <row r="171">
      <c r="A171" s="3" t="n"/>
      <c r="B171" s="3" t="n"/>
      <c r="C171" s="3" t="n"/>
      <c r="D171" s="3" t="n"/>
      <c r="E171" s="3" t="n"/>
      <c r="F171" s="3" t="n"/>
      <c r="G171" s="9" t="n"/>
      <c r="H171" s="10" t="n"/>
      <c r="I171" s="10" t="n"/>
      <c r="J171" s="3" t="n"/>
      <c r="K171" s="9" t="n"/>
      <c r="L171" s="10" t="n"/>
      <c r="M171" s="10" t="n"/>
      <c r="N171" s="3" t="n"/>
      <c r="O171" s="10" t="n"/>
      <c r="P171" s="10" t="n"/>
      <c r="Q171" s="10" t="n"/>
      <c r="R171" s="6">
        <f>IF(COUNT(O171:Q171)=3,O171-P171-Q171,"")</f>
        <v/>
      </c>
      <c r="S171" s="3" t="n"/>
      <c r="T171" s="3" t="n"/>
      <c r="U171" s="10" t="n"/>
      <c r="V171" s="3" t="n"/>
      <c r="W171" s="7">
        <f>IF(AND(A171&lt;&gt;"",B171&lt;&gt;"",C171&lt;&gt;"",ISNUMBER(G171),ISNUMBER(K171),K171&lt;=G171,K171&gt;0,T171="낙찰",ISNUMBER(L171),L171&gt;0,ISNUMBER(U171),U171&gt;0,COUNTIFS(A$2:A$301,A171,B$2:B$301,B171,C$2:C$301,C171,G$2:G$301,G171)=1),"평가 가능","")</f>
        <v/>
      </c>
      <c r="X171" s="8">
        <f>IF(W171="평가 가능",(L171-U171)/U171,"")</f>
        <v/>
      </c>
      <c r="Y171" s="8">
        <f>IF(W171="평가 가능",ABS(X171),"")</f>
        <v/>
      </c>
      <c r="Z171" s="7">
        <f>IF(AND(ISNUMBER(M171),M171&gt;0,ISNUMBER(I171)),IF(M171&lt;I171,"최저가 미달",IF(M171=I171,"최저가 동액","최저가 초과")),"")</f>
        <v/>
      </c>
      <c r="AA171" s="7">
        <f>IF(AND(T171="낙찰",ISNUMBER(M171),M171&gt;0,ISNUMBER(U171)),IF(M171&lt;U171,"실제 낙찰가 미만",IF(M171=U171,"실제 낙찰가 동액","실제 낙찰가 초과")),"")</f>
        <v/>
      </c>
      <c r="AB171" s="7">
        <f>IF(AND(ISNUMBER(M171),M171&gt;0,ISNUMBER(R171)),IF(M171&lt;R171,"상한가 미만",IF(M171=R171,"상한가 동액","상한가 초과")),"")</f>
        <v/>
      </c>
      <c r="AC171" s="3" t="n"/>
      <c r="AD171" s="7">
        <f>IF(COUNTA(A171:Q171,S171:V171,AC171)=0,"",IF(OR(A171="",B171="",C171="",NOT(ISNUMBER(G171))),"식별값 확인",IF(COUNTIFS(A$2:A$301,A171,B$2:B$301,B171,C$2:C$301,C171,G$2:G$301,G171)&gt;1,"중복 회차",IF(AND(ISNUMBER(K171),K171&gt;G171),"기일 후 예측",IF(AND(T171="낙찰",W171=""),"평가 입력 확인","")))))</f>
        <v/>
      </c>
    </row>
    <row r="172">
      <c r="A172" s="2" t="n"/>
      <c r="B172" s="2" t="n"/>
      <c r="C172" s="2" t="n"/>
      <c r="D172" s="2" t="n"/>
      <c r="E172" s="2" t="n"/>
      <c r="F172" s="2" t="n"/>
      <c r="G172" s="4" t="n"/>
      <c r="H172" s="5" t="n"/>
      <c r="I172" s="5" t="n"/>
      <c r="J172" s="2" t="n"/>
      <c r="K172" s="4" t="n"/>
      <c r="L172" s="5" t="n"/>
      <c r="M172" s="5" t="n"/>
      <c r="N172" s="2" t="n"/>
      <c r="O172" s="5" t="n"/>
      <c r="P172" s="5" t="n"/>
      <c r="Q172" s="5" t="n"/>
      <c r="R172" s="6">
        <f>IF(COUNT(O172:Q172)=3,O172-P172-Q172,"")</f>
        <v/>
      </c>
      <c r="S172" s="2" t="n"/>
      <c r="T172" s="2" t="n"/>
      <c r="U172" s="5" t="n"/>
      <c r="V172" s="2" t="n"/>
      <c r="W172" s="7">
        <f>IF(AND(A172&lt;&gt;"",B172&lt;&gt;"",C172&lt;&gt;"",ISNUMBER(G172),ISNUMBER(K172),K172&lt;=G172,K172&gt;0,T172="낙찰",ISNUMBER(L172),L172&gt;0,ISNUMBER(U172),U172&gt;0,COUNTIFS(A$2:A$301,A172,B$2:B$301,B172,C$2:C$301,C172,G$2:G$301,G172)=1),"평가 가능","")</f>
        <v/>
      </c>
      <c r="X172" s="8">
        <f>IF(W172="평가 가능",(L172-U172)/U172,"")</f>
        <v/>
      </c>
      <c r="Y172" s="8">
        <f>IF(W172="평가 가능",ABS(X172),"")</f>
        <v/>
      </c>
      <c r="Z172" s="7">
        <f>IF(AND(ISNUMBER(M172),M172&gt;0,ISNUMBER(I172)),IF(M172&lt;I172,"최저가 미달",IF(M172=I172,"최저가 동액","최저가 초과")),"")</f>
        <v/>
      </c>
      <c r="AA172" s="7">
        <f>IF(AND(T172="낙찰",ISNUMBER(M172),M172&gt;0,ISNUMBER(U172)),IF(M172&lt;U172,"실제 낙찰가 미만",IF(M172=U172,"실제 낙찰가 동액","실제 낙찰가 초과")),"")</f>
        <v/>
      </c>
      <c r="AB172" s="7">
        <f>IF(AND(ISNUMBER(M172),M172&gt;0,ISNUMBER(R172)),IF(M172&lt;R172,"상한가 미만",IF(M172=R172,"상한가 동액","상한가 초과")),"")</f>
        <v/>
      </c>
      <c r="AC172" s="2" t="n"/>
      <c r="AD172" s="7">
        <f>IF(COUNTA(A172:Q172,S172:V172,AC172)=0,"",IF(OR(A172="",B172="",C172="",NOT(ISNUMBER(G172))),"식별값 확인",IF(COUNTIFS(A$2:A$301,A172,B$2:B$301,B172,C$2:C$301,C172,G$2:G$301,G172)&gt;1,"중복 회차",IF(AND(ISNUMBER(K172),K172&gt;G172),"기일 후 예측",IF(AND(T172="낙찰",W172=""),"평가 입력 확인","")))))</f>
        <v/>
      </c>
    </row>
    <row r="173">
      <c r="A173" s="3" t="n"/>
      <c r="B173" s="3" t="n"/>
      <c r="C173" s="3" t="n"/>
      <c r="D173" s="3" t="n"/>
      <c r="E173" s="3" t="n"/>
      <c r="F173" s="3" t="n"/>
      <c r="G173" s="9" t="n"/>
      <c r="H173" s="10" t="n"/>
      <c r="I173" s="10" t="n"/>
      <c r="J173" s="3" t="n"/>
      <c r="K173" s="9" t="n"/>
      <c r="L173" s="10" t="n"/>
      <c r="M173" s="10" t="n"/>
      <c r="N173" s="3" t="n"/>
      <c r="O173" s="10" t="n"/>
      <c r="P173" s="10" t="n"/>
      <c r="Q173" s="10" t="n"/>
      <c r="R173" s="6">
        <f>IF(COUNT(O173:Q173)=3,O173-P173-Q173,"")</f>
        <v/>
      </c>
      <c r="S173" s="3" t="n"/>
      <c r="T173" s="3" t="n"/>
      <c r="U173" s="10" t="n"/>
      <c r="V173" s="3" t="n"/>
      <c r="W173" s="7">
        <f>IF(AND(A173&lt;&gt;"",B173&lt;&gt;"",C173&lt;&gt;"",ISNUMBER(G173),ISNUMBER(K173),K173&lt;=G173,K173&gt;0,T173="낙찰",ISNUMBER(L173),L173&gt;0,ISNUMBER(U173),U173&gt;0,COUNTIFS(A$2:A$301,A173,B$2:B$301,B173,C$2:C$301,C173,G$2:G$301,G173)=1),"평가 가능","")</f>
        <v/>
      </c>
      <c r="X173" s="8">
        <f>IF(W173="평가 가능",(L173-U173)/U173,"")</f>
        <v/>
      </c>
      <c r="Y173" s="8">
        <f>IF(W173="평가 가능",ABS(X173),"")</f>
        <v/>
      </c>
      <c r="Z173" s="7">
        <f>IF(AND(ISNUMBER(M173),M173&gt;0,ISNUMBER(I173)),IF(M173&lt;I173,"최저가 미달",IF(M173=I173,"최저가 동액","최저가 초과")),"")</f>
        <v/>
      </c>
      <c r="AA173" s="7">
        <f>IF(AND(T173="낙찰",ISNUMBER(M173),M173&gt;0,ISNUMBER(U173)),IF(M173&lt;U173,"실제 낙찰가 미만",IF(M173=U173,"실제 낙찰가 동액","실제 낙찰가 초과")),"")</f>
        <v/>
      </c>
      <c r="AB173" s="7">
        <f>IF(AND(ISNUMBER(M173),M173&gt;0,ISNUMBER(R173)),IF(M173&lt;R173,"상한가 미만",IF(M173=R173,"상한가 동액","상한가 초과")),"")</f>
        <v/>
      </c>
      <c r="AC173" s="3" t="n"/>
      <c r="AD173" s="7">
        <f>IF(COUNTA(A173:Q173,S173:V173,AC173)=0,"",IF(OR(A173="",B173="",C173="",NOT(ISNUMBER(G173))),"식별값 확인",IF(COUNTIFS(A$2:A$301,A173,B$2:B$301,B173,C$2:C$301,C173,G$2:G$301,G173)&gt;1,"중복 회차",IF(AND(ISNUMBER(K173),K173&gt;G173),"기일 후 예측",IF(AND(T173="낙찰",W173=""),"평가 입력 확인","")))))</f>
        <v/>
      </c>
    </row>
    <row r="174">
      <c r="A174" s="2" t="n"/>
      <c r="B174" s="2" t="n"/>
      <c r="C174" s="2" t="n"/>
      <c r="D174" s="2" t="n"/>
      <c r="E174" s="2" t="n"/>
      <c r="F174" s="2" t="n"/>
      <c r="G174" s="4" t="n"/>
      <c r="H174" s="5" t="n"/>
      <c r="I174" s="5" t="n"/>
      <c r="J174" s="2" t="n"/>
      <c r="K174" s="4" t="n"/>
      <c r="L174" s="5" t="n"/>
      <c r="M174" s="5" t="n"/>
      <c r="N174" s="2" t="n"/>
      <c r="O174" s="5" t="n"/>
      <c r="P174" s="5" t="n"/>
      <c r="Q174" s="5" t="n"/>
      <c r="R174" s="6">
        <f>IF(COUNT(O174:Q174)=3,O174-P174-Q174,"")</f>
        <v/>
      </c>
      <c r="S174" s="2" t="n"/>
      <c r="T174" s="2" t="n"/>
      <c r="U174" s="5" t="n"/>
      <c r="V174" s="2" t="n"/>
      <c r="W174" s="7">
        <f>IF(AND(A174&lt;&gt;"",B174&lt;&gt;"",C174&lt;&gt;"",ISNUMBER(G174),ISNUMBER(K174),K174&lt;=G174,K174&gt;0,T174="낙찰",ISNUMBER(L174),L174&gt;0,ISNUMBER(U174),U174&gt;0,COUNTIFS(A$2:A$301,A174,B$2:B$301,B174,C$2:C$301,C174,G$2:G$301,G174)=1),"평가 가능","")</f>
        <v/>
      </c>
      <c r="X174" s="8">
        <f>IF(W174="평가 가능",(L174-U174)/U174,"")</f>
        <v/>
      </c>
      <c r="Y174" s="8">
        <f>IF(W174="평가 가능",ABS(X174),"")</f>
        <v/>
      </c>
      <c r="Z174" s="7">
        <f>IF(AND(ISNUMBER(M174),M174&gt;0,ISNUMBER(I174)),IF(M174&lt;I174,"최저가 미달",IF(M174=I174,"최저가 동액","최저가 초과")),"")</f>
        <v/>
      </c>
      <c r="AA174" s="7">
        <f>IF(AND(T174="낙찰",ISNUMBER(M174),M174&gt;0,ISNUMBER(U174)),IF(M174&lt;U174,"실제 낙찰가 미만",IF(M174=U174,"실제 낙찰가 동액","실제 낙찰가 초과")),"")</f>
        <v/>
      </c>
      <c r="AB174" s="7">
        <f>IF(AND(ISNUMBER(M174),M174&gt;0,ISNUMBER(R174)),IF(M174&lt;R174,"상한가 미만",IF(M174=R174,"상한가 동액","상한가 초과")),"")</f>
        <v/>
      </c>
      <c r="AC174" s="2" t="n"/>
      <c r="AD174" s="7">
        <f>IF(COUNTA(A174:Q174,S174:V174,AC174)=0,"",IF(OR(A174="",B174="",C174="",NOT(ISNUMBER(G174))),"식별값 확인",IF(COUNTIFS(A$2:A$301,A174,B$2:B$301,B174,C$2:C$301,C174,G$2:G$301,G174)&gt;1,"중복 회차",IF(AND(ISNUMBER(K174),K174&gt;G174),"기일 후 예측",IF(AND(T174="낙찰",W174=""),"평가 입력 확인","")))))</f>
        <v/>
      </c>
    </row>
    <row r="175">
      <c r="A175" s="3" t="n"/>
      <c r="B175" s="3" t="n"/>
      <c r="C175" s="3" t="n"/>
      <c r="D175" s="3" t="n"/>
      <c r="E175" s="3" t="n"/>
      <c r="F175" s="3" t="n"/>
      <c r="G175" s="9" t="n"/>
      <c r="H175" s="10" t="n"/>
      <c r="I175" s="10" t="n"/>
      <c r="J175" s="3" t="n"/>
      <c r="K175" s="9" t="n"/>
      <c r="L175" s="10" t="n"/>
      <c r="M175" s="10" t="n"/>
      <c r="N175" s="3" t="n"/>
      <c r="O175" s="10" t="n"/>
      <c r="P175" s="10" t="n"/>
      <c r="Q175" s="10" t="n"/>
      <c r="R175" s="6">
        <f>IF(COUNT(O175:Q175)=3,O175-P175-Q175,"")</f>
        <v/>
      </c>
      <c r="S175" s="3" t="n"/>
      <c r="T175" s="3" t="n"/>
      <c r="U175" s="10" t="n"/>
      <c r="V175" s="3" t="n"/>
      <c r="W175" s="7">
        <f>IF(AND(A175&lt;&gt;"",B175&lt;&gt;"",C175&lt;&gt;"",ISNUMBER(G175),ISNUMBER(K175),K175&lt;=G175,K175&gt;0,T175="낙찰",ISNUMBER(L175),L175&gt;0,ISNUMBER(U175),U175&gt;0,COUNTIFS(A$2:A$301,A175,B$2:B$301,B175,C$2:C$301,C175,G$2:G$301,G175)=1),"평가 가능","")</f>
        <v/>
      </c>
      <c r="X175" s="8">
        <f>IF(W175="평가 가능",(L175-U175)/U175,"")</f>
        <v/>
      </c>
      <c r="Y175" s="8">
        <f>IF(W175="평가 가능",ABS(X175),"")</f>
        <v/>
      </c>
      <c r="Z175" s="7">
        <f>IF(AND(ISNUMBER(M175),M175&gt;0,ISNUMBER(I175)),IF(M175&lt;I175,"최저가 미달",IF(M175=I175,"최저가 동액","최저가 초과")),"")</f>
        <v/>
      </c>
      <c r="AA175" s="7">
        <f>IF(AND(T175="낙찰",ISNUMBER(M175),M175&gt;0,ISNUMBER(U175)),IF(M175&lt;U175,"실제 낙찰가 미만",IF(M175=U175,"실제 낙찰가 동액","실제 낙찰가 초과")),"")</f>
        <v/>
      </c>
      <c r="AB175" s="7">
        <f>IF(AND(ISNUMBER(M175),M175&gt;0,ISNUMBER(R175)),IF(M175&lt;R175,"상한가 미만",IF(M175=R175,"상한가 동액","상한가 초과")),"")</f>
        <v/>
      </c>
      <c r="AC175" s="3" t="n"/>
      <c r="AD175" s="7">
        <f>IF(COUNTA(A175:Q175,S175:V175,AC175)=0,"",IF(OR(A175="",B175="",C175="",NOT(ISNUMBER(G175))),"식별값 확인",IF(COUNTIFS(A$2:A$301,A175,B$2:B$301,B175,C$2:C$301,C175,G$2:G$301,G175)&gt;1,"중복 회차",IF(AND(ISNUMBER(K175),K175&gt;G175),"기일 후 예측",IF(AND(T175="낙찰",W175=""),"평가 입력 확인","")))))</f>
        <v/>
      </c>
    </row>
    <row r="176">
      <c r="A176" s="2" t="n"/>
      <c r="B176" s="2" t="n"/>
      <c r="C176" s="2" t="n"/>
      <c r="D176" s="2" t="n"/>
      <c r="E176" s="2" t="n"/>
      <c r="F176" s="2" t="n"/>
      <c r="G176" s="4" t="n"/>
      <c r="H176" s="5" t="n"/>
      <c r="I176" s="5" t="n"/>
      <c r="J176" s="2" t="n"/>
      <c r="K176" s="4" t="n"/>
      <c r="L176" s="5" t="n"/>
      <c r="M176" s="5" t="n"/>
      <c r="N176" s="2" t="n"/>
      <c r="O176" s="5" t="n"/>
      <c r="P176" s="5" t="n"/>
      <c r="Q176" s="5" t="n"/>
      <c r="R176" s="6">
        <f>IF(COUNT(O176:Q176)=3,O176-P176-Q176,"")</f>
        <v/>
      </c>
      <c r="S176" s="2" t="n"/>
      <c r="T176" s="2" t="n"/>
      <c r="U176" s="5" t="n"/>
      <c r="V176" s="2" t="n"/>
      <c r="W176" s="7">
        <f>IF(AND(A176&lt;&gt;"",B176&lt;&gt;"",C176&lt;&gt;"",ISNUMBER(G176),ISNUMBER(K176),K176&lt;=G176,K176&gt;0,T176="낙찰",ISNUMBER(L176),L176&gt;0,ISNUMBER(U176),U176&gt;0,COUNTIFS(A$2:A$301,A176,B$2:B$301,B176,C$2:C$301,C176,G$2:G$301,G176)=1),"평가 가능","")</f>
        <v/>
      </c>
      <c r="X176" s="8">
        <f>IF(W176="평가 가능",(L176-U176)/U176,"")</f>
        <v/>
      </c>
      <c r="Y176" s="8">
        <f>IF(W176="평가 가능",ABS(X176),"")</f>
        <v/>
      </c>
      <c r="Z176" s="7">
        <f>IF(AND(ISNUMBER(M176),M176&gt;0,ISNUMBER(I176)),IF(M176&lt;I176,"최저가 미달",IF(M176=I176,"최저가 동액","최저가 초과")),"")</f>
        <v/>
      </c>
      <c r="AA176" s="7">
        <f>IF(AND(T176="낙찰",ISNUMBER(M176),M176&gt;0,ISNUMBER(U176)),IF(M176&lt;U176,"실제 낙찰가 미만",IF(M176=U176,"실제 낙찰가 동액","실제 낙찰가 초과")),"")</f>
        <v/>
      </c>
      <c r="AB176" s="7">
        <f>IF(AND(ISNUMBER(M176),M176&gt;0,ISNUMBER(R176)),IF(M176&lt;R176,"상한가 미만",IF(M176=R176,"상한가 동액","상한가 초과")),"")</f>
        <v/>
      </c>
      <c r="AC176" s="2" t="n"/>
      <c r="AD176" s="7">
        <f>IF(COUNTA(A176:Q176,S176:V176,AC176)=0,"",IF(OR(A176="",B176="",C176="",NOT(ISNUMBER(G176))),"식별값 확인",IF(COUNTIFS(A$2:A$301,A176,B$2:B$301,B176,C$2:C$301,C176,G$2:G$301,G176)&gt;1,"중복 회차",IF(AND(ISNUMBER(K176),K176&gt;G176),"기일 후 예측",IF(AND(T176="낙찰",W176=""),"평가 입력 확인","")))))</f>
        <v/>
      </c>
    </row>
    <row r="177">
      <c r="A177" s="3" t="n"/>
      <c r="B177" s="3" t="n"/>
      <c r="C177" s="3" t="n"/>
      <c r="D177" s="3" t="n"/>
      <c r="E177" s="3" t="n"/>
      <c r="F177" s="3" t="n"/>
      <c r="G177" s="9" t="n"/>
      <c r="H177" s="10" t="n"/>
      <c r="I177" s="10" t="n"/>
      <c r="J177" s="3" t="n"/>
      <c r="K177" s="9" t="n"/>
      <c r="L177" s="10" t="n"/>
      <c r="M177" s="10" t="n"/>
      <c r="N177" s="3" t="n"/>
      <c r="O177" s="10" t="n"/>
      <c r="P177" s="10" t="n"/>
      <c r="Q177" s="10" t="n"/>
      <c r="R177" s="6">
        <f>IF(COUNT(O177:Q177)=3,O177-P177-Q177,"")</f>
        <v/>
      </c>
      <c r="S177" s="3" t="n"/>
      <c r="T177" s="3" t="n"/>
      <c r="U177" s="10" t="n"/>
      <c r="V177" s="3" t="n"/>
      <c r="W177" s="7">
        <f>IF(AND(A177&lt;&gt;"",B177&lt;&gt;"",C177&lt;&gt;"",ISNUMBER(G177),ISNUMBER(K177),K177&lt;=G177,K177&gt;0,T177="낙찰",ISNUMBER(L177),L177&gt;0,ISNUMBER(U177),U177&gt;0,COUNTIFS(A$2:A$301,A177,B$2:B$301,B177,C$2:C$301,C177,G$2:G$301,G177)=1),"평가 가능","")</f>
        <v/>
      </c>
      <c r="X177" s="8">
        <f>IF(W177="평가 가능",(L177-U177)/U177,"")</f>
        <v/>
      </c>
      <c r="Y177" s="8">
        <f>IF(W177="평가 가능",ABS(X177),"")</f>
        <v/>
      </c>
      <c r="Z177" s="7">
        <f>IF(AND(ISNUMBER(M177),M177&gt;0,ISNUMBER(I177)),IF(M177&lt;I177,"최저가 미달",IF(M177=I177,"최저가 동액","최저가 초과")),"")</f>
        <v/>
      </c>
      <c r="AA177" s="7">
        <f>IF(AND(T177="낙찰",ISNUMBER(M177),M177&gt;0,ISNUMBER(U177)),IF(M177&lt;U177,"실제 낙찰가 미만",IF(M177=U177,"실제 낙찰가 동액","실제 낙찰가 초과")),"")</f>
        <v/>
      </c>
      <c r="AB177" s="7">
        <f>IF(AND(ISNUMBER(M177),M177&gt;0,ISNUMBER(R177)),IF(M177&lt;R177,"상한가 미만",IF(M177=R177,"상한가 동액","상한가 초과")),"")</f>
        <v/>
      </c>
      <c r="AC177" s="3" t="n"/>
      <c r="AD177" s="7">
        <f>IF(COUNTA(A177:Q177,S177:V177,AC177)=0,"",IF(OR(A177="",B177="",C177="",NOT(ISNUMBER(G177))),"식별값 확인",IF(COUNTIFS(A$2:A$301,A177,B$2:B$301,B177,C$2:C$301,C177,G$2:G$301,G177)&gt;1,"중복 회차",IF(AND(ISNUMBER(K177),K177&gt;G177),"기일 후 예측",IF(AND(T177="낙찰",W177=""),"평가 입력 확인","")))))</f>
        <v/>
      </c>
    </row>
    <row r="178">
      <c r="A178" s="2" t="n"/>
      <c r="B178" s="2" t="n"/>
      <c r="C178" s="2" t="n"/>
      <c r="D178" s="2" t="n"/>
      <c r="E178" s="2" t="n"/>
      <c r="F178" s="2" t="n"/>
      <c r="G178" s="4" t="n"/>
      <c r="H178" s="5" t="n"/>
      <c r="I178" s="5" t="n"/>
      <c r="J178" s="2" t="n"/>
      <c r="K178" s="4" t="n"/>
      <c r="L178" s="5" t="n"/>
      <c r="M178" s="5" t="n"/>
      <c r="N178" s="2" t="n"/>
      <c r="O178" s="5" t="n"/>
      <c r="P178" s="5" t="n"/>
      <c r="Q178" s="5" t="n"/>
      <c r="R178" s="6">
        <f>IF(COUNT(O178:Q178)=3,O178-P178-Q178,"")</f>
        <v/>
      </c>
      <c r="S178" s="2" t="n"/>
      <c r="T178" s="2" t="n"/>
      <c r="U178" s="5" t="n"/>
      <c r="V178" s="2" t="n"/>
      <c r="W178" s="7">
        <f>IF(AND(A178&lt;&gt;"",B178&lt;&gt;"",C178&lt;&gt;"",ISNUMBER(G178),ISNUMBER(K178),K178&lt;=G178,K178&gt;0,T178="낙찰",ISNUMBER(L178),L178&gt;0,ISNUMBER(U178),U178&gt;0,COUNTIFS(A$2:A$301,A178,B$2:B$301,B178,C$2:C$301,C178,G$2:G$301,G178)=1),"평가 가능","")</f>
        <v/>
      </c>
      <c r="X178" s="8">
        <f>IF(W178="평가 가능",(L178-U178)/U178,"")</f>
        <v/>
      </c>
      <c r="Y178" s="8">
        <f>IF(W178="평가 가능",ABS(X178),"")</f>
        <v/>
      </c>
      <c r="Z178" s="7">
        <f>IF(AND(ISNUMBER(M178),M178&gt;0,ISNUMBER(I178)),IF(M178&lt;I178,"최저가 미달",IF(M178=I178,"최저가 동액","최저가 초과")),"")</f>
        <v/>
      </c>
      <c r="AA178" s="7">
        <f>IF(AND(T178="낙찰",ISNUMBER(M178),M178&gt;0,ISNUMBER(U178)),IF(M178&lt;U178,"실제 낙찰가 미만",IF(M178=U178,"실제 낙찰가 동액","실제 낙찰가 초과")),"")</f>
        <v/>
      </c>
      <c r="AB178" s="7">
        <f>IF(AND(ISNUMBER(M178),M178&gt;0,ISNUMBER(R178)),IF(M178&lt;R178,"상한가 미만",IF(M178=R178,"상한가 동액","상한가 초과")),"")</f>
        <v/>
      </c>
      <c r="AC178" s="2" t="n"/>
      <c r="AD178" s="7">
        <f>IF(COUNTA(A178:Q178,S178:V178,AC178)=0,"",IF(OR(A178="",B178="",C178="",NOT(ISNUMBER(G178))),"식별값 확인",IF(COUNTIFS(A$2:A$301,A178,B$2:B$301,B178,C$2:C$301,C178,G$2:G$301,G178)&gt;1,"중복 회차",IF(AND(ISNUMBER(K178),K178&gt;G178),"기일 후 예측",IF(AND(T178="낙찰",W178=""),"평가 입력 확인","")))))</f>
        <v/>
      </c>
    </row>
    <row r="179">
      <c r="A179" s="3" t="n"/>
      <c r="B179" s="3" t="n"/>
      <c r="C179" s="3" t="n"/>
      <c r="D179" s="3" t="n"/>
      <c r="E179" s="3" t="n"/>
      <c r="F179" s="3" t="n"/>
      <c r="G179" s="9" t="n"/>
      <c r="H179" s="10" t="n"/>
      <c r="I179" s="10" t="n"/>
      <c r="J179" s="3" t="n"/>
      <c r="K179" s="9" t="n"/>
      <c r="L179" s="10" t="n"/>
      <c r="M179" s="10" t="n"/>
      <c r="N179" s="3" t="n"/>
      <c r="O179" s="10" t="n"/>
      <c r="P179" s="10" t="n"/>
      <c r="Q179" s="10" t="n"/>
      <c r="R179" s="6">
        <f>IF(COUNT(O179:Q179)=3,O179-P179-Q179,"")</f>
        <v/>
      </c>
      <c r="S179" s="3" t="n"/>
      <c r="T179" s="3" t="n"/>
      <c r="U179" s="10" t="n"/>
      <c r="V179" s="3" t="n"/>
      <c r="W179" s="7">
        <f>IF(AND(A179&lt;&gt;"",B179&lt;&gt;"",C179&lt;&gt;"",ISNUMBER(G179),ISNUMBER(K179),K179&lt;=G179,K179&gt;0,T179="낙찰",ISNUMBER(L179),L179&gt;0,ISNUMBER(U179),U179&gt;0,COUNTIFS(A$2:A$301,A179,B$2:B$301,B179,C$2:C$301,C179,G$2:G$301,G179)=1),"평가 가능","")</f>
        <v/>
      </c>
      <c r="X179" s="8">
        <f>IF(W179="평가 가능",(L179-U179)/U179,"")</f>
        <v/>
      </c>
      <c r="Y179" s="8">
        <f>IF(W179="평가 가능",ABS(X179),"")</f>
        <v/>
      </c>
      <c r="Z179" s="7">
        <f>IF(AND(ISNUMBER(M179),M179&gt;0,ISNUMBER(I179)),IF(M179&lt;I179,"최저가 미달",IF(M179=I179,"최저가 동액","최저가 초과")),"")</f>
        <v/>
      </c>
      <c r="AA179" s="7">
        <f>IF(AND(T179="낙찰",ISNUMBER(M179),M179&gt;0,ISNUMBER(U179)),IF(M179&lt;U179,"실제 낙찰가 미만",IF(M179=U179,"실제 낙찰가 동액","실제 낙찰가 초과")),"")</f>
        <v/>
      </c>
      <c r="AB179" s="7">
        <f>IF(AND(ISNUMBER(M179),M179&gt;0,ISNUMBER(R179)),IF(M179&lt;R179,"상한가 미만",IF(M179=R179,"상한가 동액","상한가 초과")),"")</f>
        <v/>
      </c>
      <c r="AC179" s="3" t="n"/>
      <c r="AD179" s="7">
        <f>IF(COUNTA(A179:Q179,S179:V179,AC179)=0,"",IF(OR(A179="",B179="",C179="",NOT(ISNUMBER(G179))),"식별값 확인",IF(COUNTIFS(A$2:A$301,A179,B$2:B$301,B179,C$2:C$301,C179,G$2:G$301,G179)&gt;1,"중복 회차",IF(AND(ISNUMBER(K179),K179&gt;G179),"기일 후 예측",IF(AND(T179="낙찰",W179=""),"평가 입력 확인","")))))</f>
        <v/>
      </c>
    </row>
    <row r="180">
      <c r="A180" s="2" t="n"/>
      <c r="B180" s="2" t="n"/>
      <c r="C180" s="2" t="n"/>
      <c r="D180" s="2" t="n"/>
      <c r="E180" s="2" t="n"/>
      <c r="F180" s="2" t="n"/>
      <c r="G180" s="4" t="n"/>
      <c r="H180" s="5" t="n"/>
      <c r="I180" s="5" t="n"/>
      <c r="J180" s="2" t="n"/>
      <c r="K180" s="4" t="n"/>
      <c r="L180" s="5" t="n"/>
      <c r="M180" s="5" t="n"/>
      <c r="N180" s="2" t="n"/>
      <c r="O180" s="5" t="n"/>
      <c r="P180" s="5" t="n"/>
      <c r="Q180" s="5" t="n"/>
      <c r="R180" s="6">
        <f>IF(COUNT(O180:Q180)=3,O180-P180-Q180,"")</f>
        <v/>
      </c>
      <c r="S180" s="2" t="n"/>
      <c r="T180" s="2" t="n"/>
      <c r="U180" s="5" t="n"/>
      <c r="V180" s="2" t="n"/>
      <c r="W180" s="7">
        <f>IF(AND(A180&lt;&gt;"",B180&lt;&gt;"",C180&lt;&gt;"",ISNUMBER(G180),ISNUMBER(K180),K180&lt;=G180,K180&gt;0,T180="낙찰",ISNUMBER(L180),L180&gt;0,ISNUMBER(U180),U180&gt;0,COUNTIFS(A$2:A$301,A180,B$2:B$301,B180,C$2:C$301,C180,G$2:G$301,G180)=1),"평가 가능","")</f>
        <v/>
      </c>
      <c r="X180" s="8">
        <f>IF(W180="평가 가능",(L180-U180)/U180,"")</f>
        <v/>
      </c>
      <c r="Y180" s="8">
        <f>IF(W180="평가 가능",ABS(X180),"")</f>
        <v/>
      </c>
      <c r="Z180" s="7">
        <f>IF(AND(ISNUMBER(M180),M180&gt;0,ISNUMBER(I180)),IF(M180&lt;I180,"최저가 미달",IF(M180=I180,"최저가 동액","최저가 초과")),"")</f>
        <v/>
      </c>
      <c r="AA180" s="7">
        <f>IF(AND(T180="낙찰",ISNUMBER(M180),M180&gt;0,ISNUMBER(U180)),IF(M180&lt;U180,"실제 낙찰가 미만",IF(M180=U180,"실제 낙찰가 동액","실제 낙찰가 초과")),"")</f>
        <v/>
      </c>
      <c r="AB180" s="7">
        <f>IF(AND(ISNUMBER(M180),M180&gt;0,ISNUMBER(R180)),IF(M180&lt;R180,"상한가 미만",IF(M180=R180,"상한가 동액","상한가 초과")),"")</f>
        <v/>
      </c>
      <c r="AC180" s="2" t="n"/>
      <c r="AD180" s="7">
        <f>IF(COUNTA(A180:Q180,S180:V180,AC180)=0,"",IF(OR(A180="",B180="",C180="",NOT(ISNUMBER(G180))),"식별값 확인",IF(COUNTIFS(A$2:A$301,A180,B$2:B$301,B180,C$2:C$301,C180,G$2:G$301,G180)&gt;1,"중복 회차",IF(AND(ISNUMBER(K180),K180&gt;G180),"기일 후 예측",IF(AND(T180="낙찰",W180=""),"평가 입력 확인","")))))</f>
        <v/>
      </c>
    </row>
    <row r="181">
      <c r="A181" s="3" t="n"/>
      <c r="B181" s="3" t="n"/>
      <c r="C181" s="3" t="n"/>
      <c r="D181" s="3" t="n"/>
      <c r="E181" s="3" t="n"/>
      <c r="F181" s="3" t="n"/>
      <c r="G181" s="9" t="n"/>
      <c r="H181" s="10" t="n"/>
      <c r="I181" s="10" t="n"/>
      <c r="J181" s="3" t="n"/>
      <c r="K181" s="9" t="n"/>
      <c r="L181" s="10" t="n"/>
      <c r="M181" s="10" t="n"/>
      <c r="N181" s="3" t="n"/>
      <c r="O181" s="10" t="n"/>
      <c r="P181" s="10" t="n"/>
      <c r="Q181" s="10" t="n"/>
      <c r="R181" s="6">
        <f>IF(COUNT(O181:Q181)=3,O181-P181-Q181,"")</f>
        <v/>
      </c>
      <c r="S181" s="3" t="n"/>
      <c r="T181" s="3" t="n"/>
      <c r="U181" s="10" t="n"/>
      <c r="V181" s="3" t="n"/>
      <c r="W181" s="7">
        <f>IF(AND(A181&lt;&gt;"",B181&lt;&gt;"",C181&lt;&gt;"",ISNUMBER(G181),ISNUMBER(K181),K181&lt;=G181,K181&gt;0,T181="낙찰",ISNUMBER(L181),L181&gt;0,ISNUMBER(U181),U181&gt;0,COUNTIFS(A$2:A$301,A181,B$2:B$301,B181,C$2:C$301,C181,G$2:G$301,G181)=1),"평가 가능","")</f>
        <v/>
      </c>
      <c r="X181" s="8">
        <f>IF(W181="평가 가능",(L181-U181)/U181,"")</f>
        <v/>
      </c>
      <c r="Y181" s="8">
        <f>IF(W181="평가 가능",ABS(X181),"")</f>
        <v/>
      </c>
      <c r="Z181" s="7">
        <f>IF(AND(ISNUMBER(M181),M181&gt;0,ISNUMBER(I181)),IF(M181&lt;I181,"최저가 미달",IF(M181=I181,"최저가 동액","최저가 초과")),"")</f>
        <v/>
      </c>
      <c r="AA181" s="7">
        <f>IF(AND(T181="낙찰",ISNUMBER(M181),M181&gt;0,ISNUMBER(U181)),IF(M181&lt;U181,"실제 낙찰가 미만",IF(M181=U181,"실제 낙찰가 동액","실제 낙찰가 초과")),"")</f>
        <v/>
      </c>
      <c r="AB181" s="7">
        <f>IF(AND(ISNUMBER(M181),M181&gt;0,ISNUMBER(R181)),IF(M181&lt;R181,"상한가 미만",IF(M181=R181,"상한가 동액","상한가 초과")),"")</f>
        <v/>
      </c>
      <c r="AC181" s="3" t="n"/>
      <c r="AD181" s="7">
        <f>IF(COUNTA(A181:Q181,S181:V181,AC181)=0,"",IF(OR(A181="",B181="",C181="",NOT(ISNUMBER(G181))),"식별값 확인",IF(COUNTIFS(A$2:A$301,A181,B$2:B$301,B181,C$2:C$301,C181,G$2:G$301,G181)&gt;1,"중복 회차",IF(AND(ISNUMBER(K181),K181&gt;G181),"기일 후 예측",IF(AND(T181="낙찰",W181=""),"평가 입력 확인","")))))</f>
        <v/>
      </c>
    </row>
    <row r="182">
      <c r="A182" s="2" t="n"/>
      <c r="B182" s="2" t="n"/>
      <c r="C182" s="2" t="n"/>
      <c r="D182" s="2" t="n"/>
      <c r="E182" s="2" t="n"/>
      <c r="F182" s="2" t="n"/>
      <c r="G182" s="4" t="n"/>
      <c r="H182" s="5" t="n"/>
      <c r="I182" s="5" t="n"/>
      <c r="J182" s="2" t="n"/>
      <c r="K182" s="4" t="n"/>
      <c r="L182" s="5" t="n"/>
      <c r="M182" s="5" t="n"/>
      <c r="N182" s="2" t="n"/>
      <c r="O182" s="5" t="n"/>
      <c r="P182" s="5" t="n"/>
      <c r="Q182" s="5" t="n"/>
      <c r="R182" s="6">
        <f>IF(COUNT(O182:Q182)=3,O182-P182-Q182,"")</f>
        <v/>
      </c>
      <c r="S182" s="2" t="n"/>
      <c r="T182" s="2" t="n"/>
      <c r="U182" s="5" t="n"/>
      <c r="V182" s="2" t="n"/>
      <c r="W182" s="7">
        <f>IF(AND(A182&lt;&gt;"",B182&lt;&gt;"",C182&lt;&gt;"",ISNUMBER(G182),ISNUMBER(K182),K182&lt;=G182,K182&gt;0,T182="낙찰",ISNUMBER(L182),L182&gt;0,ISNUMBER(U182),U182&gt;0,COUNTIFS(A$2:A$301,A182,B$2:B$301,B182,C$2:C$301,C182,G$2:G$301,G182)=1),"평가 가능","")</f>
        <v/>
      </c>
      <c r="X182" s="8">
        <f>IF(W182="평가 가능",(L182-U182)/U182,"")</f>
        <v/>
      </c>
      <c r="Y182" s="8">
        <f>IF(W182="평가 가능",ABS(X182),"")</f>
        <v/>
      </c>
      <c r="Z182" s="7">
        <f>IF(AND(ISNUMBER(M182),M182&gt;0,ISNUMBER(I182)),IF(M182&lt;I182,"최저가 미달",IF(M182=I182,"최저가 동액","최저가 초과")),"")</f>
        <v/>
      </c>
      <c r="AA182" s="7">
        <f>IF(AND(T182="낙찰",ISNUMBER(M182),M182&gt;0,ISNUMBER(U182)),IF(M182&lt;U182,"실제 낙찰가 미만",IF(M182=U182,"실제 낙찰가 동액","실제 낙찰가 초과")),"")</f>
        <v/>
      </c>
      <c r="AB182" s="7">
        <f>IF(AND(ISNUMBER(M182),M182&gt;0,ISNUMBER(R182)),IF(M182&lt;R182,"상한가 미만",IF(M182=R182,"상한가 동액","상한가 초과")),"")</f>
        <v/>
      </c>
      <c r="AC182" s="2" t="n"/>
      <c r="AD182" s="7">
        <f>IF(COUNTA(A182:Q182,S182:V182,AC182)=0,"",IF(OR(A182="",B182="",C182="",NOT(ISNUMBER(G182))),"식별값 확인",IF(COUNTIFS(A$2:A$301,A182,B$2:B$301,B182,C$2:C$301,C182,G$2:G$301,G182)&gt;1,"중복 회차",IF(AND(ISNUMBER(K182),K182&gt;G182),"기일 후 예측",IF(AND(T182="낙찰",W182=""),"평가 입력 확인","")))))</f>
        <v/>
      </c>
    </row>
    <row r="183">
      <c r="A183" s="3" t="n"/>
      <c r="B183" s="3" t="n"/>
      <c r="C183" s="3" t="n"/>
      <c r="D183" s="3" t="n"/>
      <c r="E183" s="3" t="n"/>
      <c r="F183" s="3" t="n"/>
      <c r="G183" s="9" t="n"/>
      <c r="H183" s="10" t="n"/>
      <c r="I183" s="10" t="n"/>
      <c r="J183" s="3" t="n"/>
      <c r="K183" s="9" t="n"/>
      <c r="L183" s="10" t="n"/>
      <c r="M183" s="10" t="n"/>
      <c r="N183" s="3" t="n"/>
      <c r="O183" s="10" t="n"/>
      <c r="P183" s="10" t="n"/>
      <c r="Q183" s="10" t="n"/>
      <c r="R183" s="6">
        <f>IF(COUNT(O183:Q183)=3,O183-P183-Q183,"")</f>
        <v/>
      </c>
      <c r="S183" s="3" t="n"/>
      <c r="T183" s="3" t="n"/>
      <c r="U183" s="10" t="n"/>
      <c r="V183" s="3" t="n"/>
      <c r="W183" s="7">
        <f>IF(AND(A183&lt;&gt;"",B183&lt;&gt;"",C183&lt;&gt;"",ISNUMBER(G183),ISNUMBER(K183),K183&lt;=G183,K183&gt;0,T183="낙찰",ISNUMBER(L183),L183&gt;0,ISNUMBER(U183),U183&gt;0,COUNTIFS(A$2:A$301,A183,B$2:B$301,B183,C$2:C$301,C183,G$2:G$301,G183)=1),"평가 가능","")</f>
        <v/>
      </c>
      <c r="X183" s="8">
        <f>IF(W183="평가 가능",(L183-U183)/U183,"")</f>
        <v/>
      </c>
      <c r="Y183" s="8">
        <f>IF(W183="평가 가능",ABS(X183),"")</f>
        <v/>
      </c>
      <c r="Z183" s="7">
        <f>IF(AND(ISNUMBER(M183),M183&gt;0,ISNUMBER(I183)),IF(M183&lt;I183,"최저가 미달",IF(M183=I183,"최저가 동액","최저가 초과")),"")</f>
        <v/>
      </c>
      <c r="AA183" s="7">
        <f>IF(AND(T183="낙찰",ISNUMBER(M183),M183&gt;0,ISNUMBER(U183)),IF(M183&lt;U183,"실제 낙찰가 미만",IF(M183=U183,"실제 낙찰가 동액","실제 낙찰가 초과")),"")</f>
        <v/>
      </c>
      <c r="AB183" s="7">
        <f>IF(AND(ISNUMBER(M183),M183&gt;0,ISNUMBER(R183)),IF(M183&lt;R183,"상한가 미만",IF(M183=R183,"상한가 동액","상한가 초과")),"")</f>
        <v/>
      </c>
      <c r="AC183" s="3" t="n"/>
      <c r="AD183" s="7">
        <f>IF(COUNTA(A183:Q183,S183:V183,AC183)=0,"",IF(OR(A183="",B183="",C183="",NOT(ISNUMBER(G183))),"식별값 확인",IF(COUNTIFS(A$2:A$301,A183,B$2:B$301,B183,C$2:C$301,C183,G$2:G$301,G183)&gt;1,"중복 회차",IF(AND(ISNUMBER(K183),K183&gt;G183),"기일 후 예측",IF(AND(T183="낙찰",W183=""),"평가 입력 확인","")))))</f>
        <v/>
      </c>
    </row>
    <row r="184">
      <c r="A184" s="2" t="n"/>
      <c r="B184" s="2" t="n"/>
      <c r="C184" s="2" t="n"/>
      <c r="D184" s="2" t="n"/>
      <c r="E184" s="2" t="n"/>
      <c r="F184" s="2" t="n"/>
      <c r="G184" s="4" t="n"/>
      <c r="H184" s="5" t="n"/>
      <c r="I184" s="5" t="n"/>
      <c r="J184" s="2" t="n"/>
      <c r="K184" s="4" t="n"/>
      <c r="L184" s="5" t="n"/>
      <c r="M184" s="5" t="n"/>
      <c r="N184" s="2" t="n"/>
      <c r="O184" s="5" t="n"/>
      <c r="P184" s="5" t="n"/>
      <c r="Q184" s="5" t="n"/>
      <c r="R184" s="6">
        <f>IF(COUNT(O184:Q184)=3,O184-P184-Q184,"")</f>
        <v/>
      </c>
      <c r="S184" s="2" t="n"/>
      <c r="T184" s="2" t="n"/>
      <c r="U184" s="5" t="n"/>
      <c r="V184" s="2" t="n"/>
      <c r="W184" s="7">
        <f>IF(AND(A184&lt;&gt;"",B184&lt;&gt;"",C184&lt;&gt;"",ISNUMBER(G184),ISNUMBER(K184),K184&lt;=G184,K184&gt;0,T184="낙찰",ISNUMBER(L184),L184&gt;0,ISNUMBER(U184),U184&gt;0,COUNTIFS(A$2:A$301,A184,B$2:B$301,B184,C$2:C$301,C184,G$2:G$301,G184)=1),"평가 가능","")</f>
        <v/>
      </c>
      <c r="X184" s="8">
        <f>IF(W184="평가 가능",(L184-U184)/U184,"")</f>
        <v/>
      </c>
      <c r="Y184" s="8">
        <f>IF(W184="평가 가능",ABS(X184),"")</f>
        <v/>
      </c>
      <c r="Z184" s="7">
        <f>IF(AND(ISNUMBER(M184),M184&gt;0,ISNUMBER(I184)),IF(M184&lt;I184,"최저가 미달",IF(M184=I184,"최저가 동액","최저가 초과")),"")</f>
        <v/>
      </c>
      <c r="AA184" s="7">
        <f>IF(AND(T184="낙찰",ISNUMBER(M184),M184&gt;0,ISNUMBER(U184)),IF(M184&lt;U184,"실제 낙찰가 미만",IF(M184=U184,"실제 낙찰가 동액","실제 낙찰가 초과")),"")</f>
        <v/>
      </c>
      <c r="AB184" s="7">
        <f>IF(AND(ISNUMBER(M184),M184&gt;0,ISNUMBER(R184)),IF(M184&lt;R184,"상한가 미만",IF(M184=R184,"상한가 동액","상한가 초과")),"")</f>
        <v/>
      </c>
      <c r="AC184" s="2" t="n"/>
      <c r="AD184" s="7">
        <f>IF(COUNTA(A184:Q184,S184:V184,AC184)=0,"",IF(OR(A184="",B184="",C184="",NOT(ISNUMBER(G184))),"식별값 확인",IF(COUNTIFS(A$2:A$301,A184,B$2:B$301,B184,C$2:C$301,C184,G$2:G$301,G184)&gt;1,"중복 회차",IF(AND(ISNUMBER(K184),K184&gt;G184),"기일 후 예측",IF(AND(T184="낙찰",W184=""),"평가 입력 확인","")))))</f>
        <v/>
      </c>
    </row>
    <row r="185">
      <c r="A185" s="3" t="n"/>
      <c r="B185" s="3" t="n"/>
      <c r="C185" s="3" t="n"/>
      <c r="D185" s="3" t="n"/>
      <c r="E185" s="3" t="n"/>
      <c r="F185" s="3" t="n"/>
      <c r="G185" s="9" t="n"/>
      <c r="H185" s="10" t="n"/>
      <c r="I185" s="10" t="n"/>
      <c r="J185" s="3" t="n"/>
      <c r="K185" s="9" t="n"/>
      <c r="L185" s="10" t="n"/>
      <c r="M185" s="10" t="n"/>
      <c r="N185" s="3" t="n"/>
      <c r="O185" s="10" t="n"/>
      <c r="P185" s="10" t="n"/>
      <c r="Q185" s="10" t="n"/>
      <c r="R185" s="6">
        <f>IF(COUNT(O185:Q185)=3,O185-P185-Q185,"")</f>
        <v/>
      </c>
      <c r="S185" s="3" t="n"/>
      <c r="T185" s="3" t="n"/>
      <c r="U185" s="10" t="n"/>
      <c r="V185" s="3" t="n"/>
      <c r="W185" s="7">
        <f>IF(AND(A185&lt;&gt;"",B185&lt;&gt;"",C185&lt;&gt;"",ISNUMBER(G185),ISNUMBER(K185),K185&lt;=G185,K185&gt;0,T185="낙찰",ISNUMBER(L185),L185&gt;0,ISNUMBER(U185),U185&gt;0,COUNTIFS(A$2:A$301,A185,B$2:B$301,B185,C$2:C$301,C185,G$2:G$301,G185)=1),"평가 가능","")</f>
        <v/>
      </c>
      <c r="X185" s="8">
        <f>IF(W185="평가 가능",(L185-U185)/U185,"")</f>
        <v/>
      </c>
      <c r="Y185" s="8">
        <f>IF(W185="평가 가능",ABS(X185),"")</f>
        <v/>
      </c>
      <c r="Z185" s="7">
        <f>IF(AND(ISNUMBER(M185),M185&gt;0,ISNUMBER(I185)),IF(M185&lt;I185,"최저가 미달",IF(M185=I185,"최저가 동액","최저가 초과")),"")</f>
        <v/>
      </c>
      <c r="AA185" s="7">
        <f>IF(AND(T185="낙찰",ISNUMBER(M185),M185&gt;0,ISNUMBER(U185)),IF(M185&lt;U185,"실제 낙찰가 미만",IF(M185=U185,"실제 낙찰가 동액","실제 낙찰가 초과")),"")</f>
        <v/>
      </c>
      <c r="AB185" s="7">
        <f>IF(AND(ISNUMBER(M185),M185&gt;0,ISNUMBER(R185)),IF(M185&lt;R185,"상한가 미만",IF(M185=R185,"상한가 동액","상한가 초과")),"")</f>
        <v/>
      </c>
      <c r="AC185" s="3" t="n"/>
      <c r="AD185" s="7">
        <f>IF(COUNTA(A185:Q185,S185:V185,AC185)=0,"",IF(OR(A185="",B185="",C185="",NOT(ISNUMBER(G185))),"식별값 확인",IF(COUNTIFS(A$2:A$301,A185,B$2:B$301,B185,C$2:C$301,C185,G$2:G$301,G185)&gt;1,"중복 회차",IF(AND(ISNUMBER(K185),K185&gt;G185),"기일 후 예측",IF(AND(T185="낙찰",W185=""),"평가 입력 확인","")))))</f>
        <v/>
      </c>
    </row>
    <row r="186">
      <c r="A186" s="2" t="n"/>
      <c r="B186" s="2" t="n"/>
      <c r="C186" s="2" t="n"/>
      <c r="D186" s="2" t="n"/>
      <c r="E186" s="2" t="n"/>
      <c r="F186" s="2" t="n"/>
      <c r="G186" s="4" t="n"/>
      <c r="H186" s="5" t="n"/>
      <c r="I186" s="5" t="n"/>
      <c r="J186" s="2" t="n"/>
      <c r="K186" s="4" t="n"/>
      <c r="L186" s="5" t="n"/>
      <c r="M186" s="5" t="n"/>
      <c r="N186" s="2" t="n"/>
      <c r="O186" s="5" t="n"/>
      <c r="P186" s="5" t="n"/>
      <c r="Q186" s="5" t="n"/>
      <c r="R186" s="6">
        <f>IF(COUNT(O186:Q186)=3,O186-P186-Q186,"")</f>
        <v/>
      </c>
      <c r="S186" s="2" t="n"/>
      <c r="T186" s="2" t="n"/>
      <c r="U186" s="5" t="n"/>
      <c r="V186" s="2" t="n"/>
      <c r="W186" s="7">
        <f>IF(AND(A186&lt;&gt;"",B186&lt;&gt;"",C186&lt;&gt;"",ISNUMBER(G186),ISNUMBER(K186),K186&lt;=G186,K186&gt;0,T186="낙찰",ISNUMBER(L186),L186&gt;0,ISNUMBER(U186),U186&gt;0,COUNTIFS(A$2:A$301,A186,B$2:B$301,B186,C$2:C$301,C186,G$2:G$301,G186)=1),"평가 가능","")</f>
        <v/>
      </c>
      <c r="X186" s="8">
        <f>IF(W186="평가 가능",(L186-U186)/U186,"")</f>
        <v/>
      </c>
      <c r="Y186" s="8">
        <f>IF(W186="평가 가능",ABS(X186),"")</f>
        <v/>
      </c>
      <c r="Z186" s="7">
        <f>IF(AND(ISNUMBER(M186),M186&gt;0,ISNUMBER(I186)),IF(M186&lt;I186,"최저가 미달",IF(M186=I186,"최저가 동액","최저가 초과")),"")</f>
        <v/>
      </c>
      <c r="AA186" s="7">
        <f>IF(AND(T186="낙찰",ISNUMBER(M186),M186&gt;0,ISNUMBER(U186)),IF(M186&lt;U186,"실제 낙찰가 미만",IF(M186=U186,"실제 낙찰가 동액","실제 낙찰가 초과")),"")</f>
        <v/>
      </c>
      <c r="AB186" s="7">
        <f>IF(AND(ISNUMBER(M186),M186&gt;0,ISNUMBER(R186)),IF(M186&lt;R186,"상한가 미만",IF(M186=R186,"상한가 동액","상한가 초과")),"")</f>
        <v/>
      </c>
      <c r="AC186" s="2" t="n"/>
      <c r="AD186" s="7">
        <f>IF(COUNTA(A186:Q186,S186:V186,AC186)=0,"",IF(OR(A186="",B186="",C186="",NOT(ISNUMBER(G186))),"식별값 확인",IF(COUNTIFS(A$2:A$301,A186,B$2:B$301,B186,C$2:C$301,C186,G$2:G$301,G186)&gt;1,"중복 회차",IF(AND(ISNUMBER(K186),K186&gt;G186),"기일 후 예측",IF(AND(T186="낙찰",W186=""),"평가 입력 확인","")))))</f>
        <v/>
      </c>
    </row>
    <row r="187">
      <c r="A187" s="3" t="n"/>
      <c r="B187" s="3" t="n"/>
      <c r="C187" s="3" t="n"/>
      <c r="D187" s="3" t="n"/>
      <c r="E187" s="3" t="n"/>
      <c r="F187" s="3" t="n"/>
      <c r="G187" s="9" t="n"/>
      <c r="H187" s="10" t="n"/>
      <c r="I187" s="10" t="n"/>
      <c r="J187" s="3" t="n"/>
      <c r="K187" s="9" t="n"/>
      <c r="L187" s="10" t="n"/>
      <c r="M187" s="10" t="n"/>
      <c r="N187" s="3" t="n"/>
      <c r="O187" s="10" t="n"/>
      <c r="P187" s="10" t="n"/>
      <c r="Q187" s="10" t="n"/>
      <c r="R187" s="6">
        <f>IF(COUNT(O187:Q187)=3,O187-P187-Q187,"")</f>
        <v/>
      </c>
      <c r="S187" s="3" t="n"/>
      <c r="T187" s="3" t="n"/>
      <c r="U187" s="10" t="n"/>
      <c r="V187" s="3" t="n"/>
      <c r="W187" s="7">
        <f>IF(AND(A187&lt;&gt;"",B187&lt;&gt;"",C187&lt;&gt;"",ISNUMBER(G187),ISNUMBER(K187),K187&lt;=G187,K187&gt;0,T187="낙찰",ISNUMBER(L187),L187&gt;0,ISNUMBER(U187),U187&gt;0,COUNTIFS(A$2:A$301,A187,B$2:B$301,B187,C$2:C$301,C187,G$2:G$301,G187)=1),"평가 가능","")</f>
        <v/>
      </c>
      <c r="X187" s="8">
        <f>IF(W187="평가 가능",(L187-U187)/U187,"")</f>
        <v/>
      </c>
      <c r="Y187" s="8">
        <f>IF(W187="평가 가능",ABS(X187),"")</f>
        <v/>
      </c>
      <c r="Z187" s="7">
        <f>IF(AND(ISNUMBER(M187),M187&gt;0,ISNUMBER(I187)),IF(M187&lt;I187,"최저가 미달",IF(M187=I187,"최저가 동액","최저가 초과")),"")</f>
        <v/>
      </c>
      <c r="AA187" s="7">
        <f>IF(AND(T187="낙찰",ISNUMBER(M187),M187&gt;0,ISNUMBER(U187)),IF(M187&lt;U187,"실제 낙찰가 미만",IF(M187=U187,"실제 낙찰가 동액","실제 낙찰가 초과")),"")</f>
        <v/>
      </c>
      <c r="AB187" s="7">
        <f>IF(AND(ISNUMBER(M187),M187&gt;0,ISNUMBER(R187)),IF(M187&lt;R187,"상한가 미만",IF(M187=R187,"상한가 동액","상한가 초과")),"")</f>
        <v/>
      </c>
      <c r="AC187" s="3" t="n"/>
      <c r="AD187" s="7">
        <f>IF(COUNTA(A187:Q187,S187:V187,AC187)=0,"",IF(OR(A187="",B187="",C187="",NOT(ISNUMBER(G187))),"식별값 확인",IF(COUNTIFS(A$2:A$301,A187,B$2:B$301,B187,C$2:C$301,C187,G$2:G$301,G187)&gt;1,"중복 회차",IF(AND(ISNUMBER(K187),K187&gt;G187),"기일 후 예측",IF(AND(T187="낙찰",W187=""),"평가 입력 확인","")))))</f>
        <v/>
      </c>
    </row>
    <row r="188">
      <c r="A188" s="2" t="n"/>
      <c r="B188" s="2" t="n"/>
      <c r="C188" s="2" t="n"/>
      <c r="D188" s="2" t="n"/>
      <c r="E188" s="2" t="n"/>
      <c r="F188" s="2" t="n"/>
      <c r="G188" s="4" t="n"/>
      <c r="H188" s="5" t="n"/>
      <c r="I188" s="5" t="n"/>
      <c r="J188" s="2" t="n"/>
      <c r="K188" s="4" t="n"/>
      <c r="L188" s="5" t="n"/>
      <c r="M188" s="5" t="n"/>
      <c r="N188" s="2" t="n"/>
      <c r="O188" s="5" t="n"/>
      <c r="P188" s="5" t="n"/>
      <c r="Q188" s="5" t="n"/>
      <c r="R188" s="6">
        <f>IF(COUNT(O188:Q188)=3,O188-P188-Q188,"")</f>
        <v/>
      </c>
      <c r="S188" s="2" t="n"/>
      <c r="T188" s="2" t="n"/>
      <c r="U188" s="5" t="n"/>
      <c r="V188" s="2" t="n"/>
      <c r="W188" s="7">
        <f>IF(AND(A188&lt;&gt;"",B188&lt;&gt;"",C188&lt;&gt;"",ISNUMBER(G188),ISNUMBER(K188),K188&lt;=G188,K188&gt;0,T188="낙찰",ISNUMBER(L188),L188&gt;0,ISNUMBER(U188),U188&gt;0,COUNTIFS(A$2:A$301,A188,B$2:B$301,B188,C$2:C$301,C188,G$2:G$301,G188)=1),"평가 가능","")</f>
        <v/>
      </c>
      <c r="X188" s="8">
        <f>IF(W188="평가 가능",(L188-U188)/U188,"")</f>
        <v/>
      </c>
      <c r="Y188" s="8">
        <f>IF(W188="평가 가능",ABS(X188),"")</f>
        <v/>
      </c>
      <c r="Z188" s="7">
        <f>IF(AND(ISNUMBER(M188),M188&gt;0,ISNUMBER(I188)),IF(M188&lt;I188,"최저가 미달",IF(M188=I188,"최저가 동액","최저가 초과")),"")</f>
        <v/>
      </c>
      <c r="AA188" s="7">
        <f>IF(AND(T188="낙찰",ISNUMBER(M188),M188&gt;0,ISNUMBER(U188)),IF(M188&lt;U188,"실제 낙찰가 미만",IF(M188=U188,"실제 낙찰가 동액","실제 낙찰가 초과")),"")</f>
        <v/>
      </c>
      <c r="AB188" s="7">
        <f>IF(AND(ISNUMBER(M188),M188&gt;0,ISNUMBER(R188)),IF(M188&lt;R188,"상한가 미만",IF(M188=R188,"상한가 동액","상한가 초과")),"")</f>
        <v/>
      </c>
      <c r="AC188" s="2" t="n"/>
      <c r="AD188" s="7">
        <f>IF(COUNTA(A188:Q188,S188:V188,AC188)=0,"",IF(OR(A188="",B188="",C188="",NOT(ISNUMBER(G188))),"식별값 확인",IF(COUNTIFS(A$2:A$301,A188,B$2:B$301,B188,C$2:C$301,C188,G$2:G$301,G188)&gt;1,"중복 회차",IF(AND(ISNUMBER(K188),K188&gt;G188),"기일 후 예측",IF(AND(T188="낙찰",W188=""),"평가 입력 확인","")))))</f>
        <v/>
      </c>
    </row>
    <row r="189">
      <c r="A189" s="3" t="n"/>
      <c r="B189" s="3" t="n"/>
      <c r="C189" s="3" t="n"/>
      <c r="D189" s="3" t="n"/>
      <c r="E189" s="3" t="n"/>
      <c r="F189" s="3" t="n"/>
      <c r="G189" s="9" t="n"/>
      <c r="H189" s="10" t="n"/>
      <c r="I189" s="10" t="n"/>
      <c r="J189" s="3" t="n"/>
      <c r="K189" s="9" t="n"/>
      <c r="L189" s="10" t="n"/>
      <c r="M189" s="10" t="n"/>
      <c r="N189" s="3" t="n"/>
      <c r="O189" s="10" t="n"/>
      <c r="P189" s="10" t="n"/>
      <c r="Q189" s="10" t="n"/>
      <c r="R189" s="6">
        <f>IF(COUNT(O189:Q189)=3,O189-P189-Q189,"")</f>
        <v/>
      </c>
      <c r="S189" s="3" t="n"/>
      <c r="T189" s="3" t="n"/>
      <c r="U189" s="10" t="n"/>
      <c r="V189" s="3" t="n"/>
      <c r="W189" s="7">
        <f>IF(AND(A189&lt;&gt;"",B189&lt;&gt;"",C189&lt;&gt;"",ISNUMBER(G189),ISNUMBER(K189),K189&lt;=G189,K189&gt;0,T189="낙찰",ISNUMBER(L189),L189&gt;0,ISNUMBER(U189),U189&gt;0,COUNTIFS(A$2:A$301,A189,B$2:B$301,B189,C$2:C$301,C189,G$2:G$301,G189)=1),"평가 가능","")</f>
        <v/>
      </c>
      <c r="X189" s="8">
        <f>IF(W189="평가 가능",(L189-U189)/U189,"")</f>
        <v/>
      </c>
      <c r="Y189" s="8">
        <f>IF(W189="평가 가능",ABS(X189),"")</f>
        <v/>
      </c>
      <c r="Z189" s="7">
        <f>IF(AND(ISNUMBER(M189),M189&gt;0,ISNUMBER(I189)),IF(M189&lt;I189,"최저가 미달",IF(M189=I189,"최저가 동액","최저가 초과")),"")</f>
        <v/>
      </c>
      <c r="AA189" s="7">
        <f>IF(AND(T189="낙찰",ISNUMBER(M189),M189&gt;0,ISNUMBER(U189)),IF(M189&lt;U189,"실제 낙찰가 미만",IF(M189=U189,"실제 낙찰가 동액","실제 낙찰가 초과")),"")</f>
        <v/>
      </c>
      <c r="AB189" s="7">
        <f>IF(AND(ISNUMBER(M189),M189&gt;0,ISNUMBER(R189)),IF(M189&lt;R189,"상한가 미만",IF(M189=R189,"상한가 동액","상한가 초과")),"")</f>
        <v/>
      </c>
      <c r="AC189" s="3" t="n"/>
      <c r="AD189" s="7">
        <f>IF(COUNTA(A189:Q189,S189:V189,AC189)=0,"",IF(OR(A189="",B189="",C189="",NOT(ISNUMBER(G189))),"식별값 확인",IF(COUNTIFS(A$2:A$301,A189,B$2:B$301,B189,C$2:C$301,C189,G$2:G$301,G189)&gt;1,"중복 회차",IF(AND(ISNUMBER(K189),K189&gt;G189),"기일 후 예측",IF(AND(T189="낙찰",W189=""),"평가 입력 확인","")))))</f>
        <v/>
      </c>
    </row>
    <row r="190">
      <c r="A190" s="2" t="n"/>
      <c r="B190" s="2" t="n"/>
      <c r="C190" s="2" t="n"/>
      <c r="D190" s="2" t="n"/>
      <c r="E190" s="2" t="n"/>
      <c r="F190" s="2" t="n"/>
      <c r="G190" s="4" t="n"/>
      <c r="H190" s="5" t="n"/>
      <c r="I190" s="5" t="n"/>
      <c r="J190" s="2" t="n"/>
      <c r="K190" s="4" t="n"/>
      <c r="L190" s="5" t="n"/>
      <c r="M190" s="5" t="n"/>
      <c r="N190" s="2" t="n"/>
      <c r="O190" s="5" t="n"/>
      <c r="P190" s="5" t="n"/>
      <c r="Q190" s="5" t="n"/>
      <c r="R190" s="6">
        <f>IF(COUNT(O190:Q190)=3,O190-P190-Q190,"")</f>
        <v/>
      </c>
      <c r="S190" s="2" t="n"/>
      <c r="T190" s="2" t="n"/>
      <c r="U190" s="5" t="n"/>
      <c r="V190" s="2" t="n"/>
      <c r="W190" s="7">
        <f>IF(AND(A190&lt;&gt;"",B190&lt;&gt;"",C190&lt;&gt;"",ISNUMBER(G190),ISNUMBER(K190),K190&lt;=G190,K190&gt;0,T190="낙찰",ISNUMBER(L190),L190&gt;0,ISNUMBER(U190),U190&gt;0,COUNTIFS(A$2:A$301,A190,B$2:B$301,B190,C$2:C$301,C190,G$2:G$301,G190)=1),"평가 가능","")</f>
        <v/>
      </c>
      <c r="X190" s="8">
        <f>IF(W190="평가 가능",(L190-U190)/U190,"")</f>
        <v/>
      </c>
      <c r="Y190" s="8">
        <f>IF(W190="평가 가능",ABS(X190),"")</f>
        <v/>
      </c>
      <c r="Z190" s="7">
        <f>IF(AND(ISNUMBER(M190),M190&gt;0,ISNUMBER(I190)),IF(M190&lt;I190,"최저가 미달",IF(M190=I190,"최저가 동액","최저가 초과")),"")</f>
        <v/>
      </c>
      <c r="AA190" s="7">
        <f>IF(AND(T190="낙찰",ISNUMBER(M190),M190&gt;0,ISNUMBER(U190)),IF(M190&lt;U190,"실제 낙찰가 미만",IF(M190=U190,"실제 낙찰가 동액","실제 낙찰가 초과")),"")</f>
        <v/>
      </c>
      <c r="AB190" s="7">
        <f>IF(AND(ISNUMBER(M190),M190&gt;0,ISNUMBER(R190)),IF(M190&lt;R190,"상한가 미만",IF(M190=R190,"상한가 동액","상한가 초과")),"")</f>
        <v/>
      </c>
      <c r="AC190" s="2" t="n"/>
      <c r="AD190" s="7">
        <f>IF(COUNTA(A190:Q190,S190:V190,AC190)=0,"",IF(OR(A190="",B190="",C190="",NOT(ISNUMBER(G190))),"식별값 확인",IF(COUNTIFS(A$2:A$301,A190,B$2:B$301,B190,C$2:C$301,C190,G$2:G$301,G190)&gt;1,"중복 회차",IF(AND(ISNUMBER(K190),K190&gt;G190),"기일 후 예측",IF(AND(T190="낙찰",W190=""),"평가 입력 확인","")))))</f>
        <v/>
      </c>
    </row>
    <row r="191">
      <c r="A191" s="3" t="n"/>
      <c r="B191" s="3" t="n"/>
      <c r="C191" s="3" t="n"/>
      <c r="D191" s="3" t="n"/>
      <c r="E191" s="3" t="n"/>
      <c r="F191" s="3" t="n"/>
      <c r="G191" s="9" t="n"/>
      <c r="H191" s="10" t="n"/>
      <c r="I191" s="10" t="n"/>
      <c r="J191" s="3" t="n"/>
      <c r="K191" s="9" t="n"/>
      <c r="L191" s="10" t="n"/>
      <c r="M191" s="10" t="n"/>
      <c r="N191" s="3" t="n"/>
      <c r="O191" s="10" t="n"/>
      <c r="P191" s="10" t="n"/>
      <c r="Q191" s="10" t="n"/>
      <c r="R191" s="6">
        <f>IF(COUNT(O191:Q191)=3,O191-P191-Q191,"")</f>
        <v/>
      </c>
      <c r="S191" s="3" t="n"/>
      <c r="T191" s="3" t="n"/>
      <c r="U191" s="10" t="n"/>
      <c r="V191" s="3" t="n"/>
      <c r="W191" s="7">
        <f>IF(AND(A191&lt;&gt;"",B191&lt;&gt;"",C191&lt;&gt;"",ISNUMBER(G191),ISNUMBER(K191),K191&lt;=G191,K191&gt;0,T191="낙찰",ISNUMBER(L191),L191&gt;0,ISNUMBER(U191),U191&gt;0,COUNTIFS(A$2:A$301,A191,B$2:B$301,B191,C$2:C$301,C191,G$2:G$301,G191)=1),"평가 가능","")</f>
        <v/>
      </c>
      <c r="X191" s="8">
        <f>IF(W191="평가 가능",(L191-U191)/U191,"")</f>
        <v/>
      </c>
      <c r="Y191" s="8">
        <f>IF(W191="평가 가능",ABS(X191),"")</f>
        <v/>
      </c>
      <c r="Z191" s="7">
        <f>IF(AND(ISNUMBER(M191),M191&gt;0,ISNUMBER(I191)),IF(M191&lt;I191,"최저가 미달",IF(M191=I191,"최저가 동액","최저가 초과")),"")</f>
        <v/>
      </c>
      <c r="AA191" s="7">
        <f>IF(AND(T191="낙찰",ISNUMBER(M191),M191&gt;0,ISNUMBER(U191)),IF(M191&lt;U191,"실제 낙찰가 미만",IF(M191=U191,"실제 낙찰가 동액","실제 낙찰가 초과")),"")</f>
        <v/>
      </c>
      <c r="AB191" s="7">
        <f>IF(AND(ISNUMBER(M191),M191&gt;0,ISNUMBER(R191)),IF(M191&lt;R191,"상한가 미만",IF(M191=R191,"상한가 동액","상한가 초과")),"")</f>
        <v/>
      </c>
      <c r="AC191" s="3" t="n"/>
      <c r="AD191" s="7">
        <f>IF(COUNTA(A191:Q191,S191:V191,AC191)=0,"",IF(OR(A191="",B191="",C191="",NOT(ISNUMBER(G191))),"식별값 확인",IF(COUNTIFS(A$2:A$301,A191,B$2:B$301,B191,C$2:C$301,C191,G$2:G$301,G191)&gt;1,"중복 회차",IF(AND(ISNUMBER(K191),K191&gt;G191),"기일 후 예측",IF(AND(T191="낙찰",W191=""),"평가 입력 확인","")))))</f>
        <v/>
      </c>
    </row>
    <row r="192">
      <c r="A192" s="2" t="n"/>
      <c r="B192" s="2" t="n"/>
      <c r="C192" s="2" t="n"/>
      <c r="D192" s="2" t="n"/>
      <c r="E192" s="2" t="n"/>
      <c r="F192" s="2" t="n"/>
      <c r="G192" s="4" t="n"/>
      <c r="H192" s="5" t="n"/>
      <c r="I192" s="5" t="n"/>
      <c r="J192" s="2" t="n"/>
      <c r="K192" s="4" t="n"/>
      <c r="L192" s="5" t="n"/>
      <c r="M192" s="5" t="n"/>
      <c r="N192" s="2" t="n"/>
      <c r="O192" s="5" t="n"/>
      <c r="P192" s="5" t="n"/>
      <c r="Q192" s="5" t="n"/>
      <c r="R192" s="6">
        <f>IF(COUNT(O192:Q192)=3,O192-P192-Q192,"")</f>
        <v/>
      </c>
      <c r="S192" s="2" t="n"/>
      <c r="T192" s="2" t="n"/>
      <c r="U192" s="5" t="n"/>
      <c r="V192" s="2" t="n"/>
      <c r="W192" s="7">
        <f>IF(AND(A192&lt;&gt;"",B192&lt;&gt;"",C192&lt;&gt;"",ISNUMBER(G192),ISNUMBER(K192),K192&lt;=G192,K192&gt;0,T192="낙찰",ISNUMBER(L192),L192&gt;0,ISNUMBER(U192),U192&gt;0,COUNTIFS(A$2:A$301,A192,B$2:B$301,B192,C$2:C$301,C192,G$2:G$301,G192)=1),"평가 가능","")</f>
        <v/>
      </c>
      <c r="X192" s="8">
        <f>IF(W192="평가 가능",(L192-U192)/U192,"")</f>
        <v/>
      </c>
      <c r="Y192" s="8">
        <f>IF(W192="평가 가능",ABS(X192),"")</f>
        <v/>
      </c>
      <c r="Z192" s="7">
        <f>IF(AND(ISNUMBER(M192),M192&gt;0,ISNUMBER(I192)),IF(M192&lt;I192,"최저가 미달",IF(M192=I192,"최저가 동액","최저가 초과")),"")</f>
        <v/>
      </c>
      <c r="AA192" s="7">
        <f>IF(AND(T192="낙찰",ISNUMBER(M192),M192&gt;0,ISNUMBER(U192)),IF(M192&lt;U192,"실제 낙찰가 미만",IF(M192=U192,"실제 낙찰가 동액","실제 낙찰가 초과")),"")</f>
        <v/>
      </c>
      <c r="AB192" s="7">
        <f>IF(AND(ISNUMBER(M192),M192&gt;0,ISNUMBER(R192)),IF(M192&lt;R192,"상한가 미만",IF(M192=R192,"상한가 동액","상한가 초과")),"")</f>
        <v/>
      </c>
      <c r="AC192" s="2" t="n"/>
      <c r="AD192" s="7">
        <f>IF(COUNTA(A192:Q192,S192:V192,AC192)=0,"",IF(OR(A192="",B192="",C192="",NOT(ISNUMBER(G192))),"식별값 확인",IF(COUNTIFS(A$2:A$301,A192,B$2:B$301,B192,C$2:C$301,C192,G$2:G$301,G192)&gt;1,"중복 회차",IF(AND(ISNUMBER(K192),K192&gt;G192),"기일 후 예측",IF(AND(T192="낙찰",W192=""),"평가 입력 확인","")))))</f>
        <v/>
      </c>
    </row>
    <row r="193">
      <c r="A193" s="3" t="n"/>
      <c r="B193" s="3" t="n"/>
      <c r="C193" s="3" t="n"/>
      <c r="D193" s="3" t="n"/>
      <c r="E193" s="3" t="n"/>
      <c r="F193" s="3" t="n"/>
      <c r="G193" s="9" t="n"/>
      <c r="H193" s="10" t="n"/>
      <c r="I193" s="10" t="n"/>
      <c r="J193" s="3" t="n"/>
      <c r="K193" s="9" t="n"/>
      <c r="L193" s="10" t="n"/>
      <c r="M193" s="10" t="n"/>
      <c r="N193" s="3" t="n"/>
      <c r="O193" s="10" t="n"/>
      <c r="P193" s="10" t="n"/>
      <c r="Q193" s="10" t="n"/>
      <c r="R193" s="6">
        <f>IF(COUNT(O193:Q193)=3,O193-P193-Q193,"")</f>
        <v/>
      </c>
      <c r="S193" s="3" t="n"/>
      <c r="T193" s="3" t="n"/>
      <c r="U193" s="10" t="n"/>
      <c r="V193" s="3" t="n"/>
      <c r="W193" s="7">
        <f>IF(AND(A193&lt;&gt;"",B193&lt;&gt;"",C193&lt;&gt;"",ISNUMBER(G193),ISNUMBER(K193),K193&lt;=G193,K193&gt;0,T193="낙찰",ISNUMBER(L193),L193&gt;0,ISNUMBER(U193),U193&gt;0,COUNTIFS(A$2:A$301,A193,B$2:B$301,B193,C$2:C$301,C193,G$2:G$301,G193)=1),"평가 가능","")</f>
        <v/>
      </c>
      <c r="X193" s="8">
        <f>IF(W193="평가 가능",(L193-U193)/U193,"")</f>
        <v/>
      </c>
      <c r="Y193" s="8">
        <f>IF(W193="평가 가능",ABS(X193),"")</f>
        <v/>
      </c>
      <c r="Z193" s="7">
        <f>IF(AND(ISNUMBER(M193),M193&gt;0,ISNUMBER(I193)),IF(M193&lt;I193,"최저가 미달",IF(M193=I193,"최저가 동액","최저가 초과")),"")</f>
        <v/>
      </c>
      <c r="AA193" s="7">
        <f>IF(AND(T193="낙찰",ISNUMBER(M193),M193&gt;0,ISNUMBER(U193)),IF(M193&lt;U193,"실제 낙찰가 미만",IF(M193=U193,"실제 낙찰가 동액","실제 낙찰가 초과")),"")</f>
        <v/>
      </c>
      <c r="AB193" s="7">
        <f>IF(AND(ISNUMBER(M193),M193&gt;0,ISNUMBER(R193)),IF(M193&lt;R193,"상한가 미만",IF(M193=R193,"상한가 동액","상한가 초과")),"")</f>
        <v/>
      </c>
      <c r="AC193" s="3" t="n"/>
      <c r="AD193" s="7">
        <f>IF(COUNTA(A193:Q193,S193:V193,AC193)=0,"",IF(OR(A193="",B193="",C193="",NOT(ISNUMBER(G193))),"식별값 확인",IF(COUNTIFS(A$2:A$301,A193,B$2:B$301,B193,C$2:C$301,C193,G$2:G$301,G193)&gt;1,"중복 회차",IF(AND(ISNUMBER(K193),K193&gt;G193),"기일 후 예측",IF(AND(T193="낙찰",W193=""),"평가 입력 확인","")))))</f>
        <v/>
      </c>
    </row>
    <row r="194">
      <c r="A194" s="2" t="n"/>
      <c r="B194" s="2" t="n"/>
      <c r="C194" s="2" t="n"/>
      <c r="D194" s="2" t="n"/>
      <c r="E194" s="2" t="n"/>
      <c r="F194" s="2" t="n"/>
      <c r="G194" s="4" t="n"/>
      <c r="H194" s="5" t="n"/>
      <c r="I194" s="5" t="n"/>
      <c r="J194" s="2" t="n"/>
      <c r="K194" s="4" t="n"/>
      <c r="L194" s="5" t="n"/>
      <c r="M194" s="5" t="n"/>
      <c r="N194" s="2" t="n"/>
      <c r="O194" s="5" t="n"/>
      <c r="P194" s="5" t="n"/>
      <c r="Q194" s="5" t="n"/>
      <c r="R194" s="6">
        <f>IF(COUNT(O194:Q194)=3,O194-P194-Q194,"")</f>
        <v/>
      </c>
      <c r="S194" s="2" t="n"/>
      <c r="T194" s="2" t="n"/>
      <c r="U194" s="5" t="n"/>
      <c r="V194" s="2" t="n"/>
      <c r="W194" s="7">
        <f>IF(AND(A194&lt;&gt;"",B194&lt;&gt;"",C194&lt;&gt;"",ISNUMBER(G194),ISNUMBER(K194),K194&lt;=G194,K194&gt;0,T194="낙찰",ISNUMBER(L194),L194&gt;0,ISNUMBER(U194),U194&gt;0,COUNTIFS(A$2:A$301,A194,B$2:B$301,B194,C$2:C$301,C194,G$2:G$301,G194)=1),"평가 가능","")</f>
        <v/>
      </c>
      <c r="X194" s="8">
        <f>IF(W194="평가 가능",(L194-U194)/U194,"")</f>
        <v/>
      </c>
      <c r="Y194" s="8">
        <f>IF(W194="평가 가능",ABS(X194),"")</f>
        <v/>
      </c>
      <c r="Z194" s="7">
        <f>IF(AND(ISNUMBER(M194),M194&gt;0,ISNUMBER(I194)),IF(M194&lt;I194,"최저가 미달",IF(M194=I194,"최저가 동액","최저가 초과")),"")</f>
        <v/>
      </c>
      <c r="AA194" s="7">
        <f>IF(AND(T194="낙찰",ISNUMBER(M194),M194&gt;0,ISNUMBER(U194)),IF(M194&lt;U194,"실제 낙찰가 미만",IF(M194=U194,"실제 낙찰가 동액","실제 낙찰가 초과")),"")</f>
        <v/>
      </c>
      <c r="AB194" s="7">
        <f>IF(AND(ISNUMBER(M194),M194&gt;0,ISNUMBER(R194)),IF(M194&lt;R194,"상한가 미만",IF(M194=R194,"상한가 동액","상한가 초과")),"")</f>
        <v/>
      </c>
      <c r="AC194" s="2" t="n"/>
      <c r="AD194" s="7">
        <f>IF(COUNTA(A194:Q194,S194:V194,AC194)=0,"",IF(OR(A194="",B194="",C194="",NOT(ISNUMBER(G194))),"식별값 확인",IF(COUNTIFS(A$2:A$301,A194,B$2:B$301,B194,C$2:C$301,C194,G$2:G$301,G194)&gt;1,"중복 회차",IF(AND(ISNUMBER(K194),K194&gt;G194),"기일 후 예측",IF(AND(T194="낙찰",W194=""),"평가 입력 확인","")))))</f>
        <v/>
      </c>
    </row>
    <row r="195">
      <c r="A195" s="3" t="n"/>
      <c r="B195" s="3" t="n"/>
      <c r="C195" s="3" t="n"/>
      <c r="D195" s="3" t="n"/>
      <c r="E195" s="3" t="n"/>
      <c r="F195" s="3" t="n"/>
      <c r="G195" s="9" t="n"/>
      <c r="H195" s="10" t="n"/>
      <c r="I195" s="10" t="n"/>
      <c r="J195" s="3" t="n"/>
      <c r="K195" s="9" t="n"/>
      <c r="L195" s="10" t="n"/>
      <c r="M195" s="10" t="n"/>
      <c r="N195" s="3" t="n"/>
      <c r="O195" s="10" t="n"/>
      <c r="P195" s="10" t="n"/>
      <c r="Q195" s="10" t="n"/>
      <c r="R195" s="6">
        <f>IF(COUNT(O195:Q195)=3,O195-P195-Q195,"")</f>
        <v/>
      </c>
      <c r="S195" s="3" t="n"/>
      <c r="T195" s="3" t="n"/>
      <c r="U195" s="10" t="n"/>
      <c r="V195" s="3" t="n"/>
      <c r="W195" s="7">
        <f>IF(AND(A195&lt;&gt;"",B195&lt;&gt;"",C195&lt;&gt;"",ISNUMBER(G195),ISNUMBER(K195),K195&lt;=G195,K195&gt;0,T195="낙찰",ISNUMBER(L195),L195&gt;0,ISNUMBER(U195),U195&gt;0,COUNTIFS(A$2:A$301,A195,B$2:B$301,B195,C$2:C$301,C195,G$2:G$301,G195)=1),"평가 가능","")</f>
        <v/>
      </c>
      <c r="X195" s="8">
        <f>IF(W195="평가 가능",(L195-U195)/U195,"")</f>
        <v/>
      </c>
      <c r="Y195" s="8">
        <f>IF(W195="평가 가능",ABS(X195),"")</f>
        <v/>
      </c>
      <c r="Z195" s="7">
        <f>IF(AND(ISNUMBER(M195),M195&gt;0,ISNUMBER(I195)),IF(M195&lt;I195,"최저가 미달",IF(M195=I195,"최저가 동액","최저가 초과")),"")</f>
        <v/>
      </c>
      <c r="AA195" s="7">
        <f>IF(AND(T195="낙찰",ISNUMBER(M195),M195&gt;0,ISNUMBER(U195)),IF(M195&lt;U195,"실제 낙찰가 미만",IF(M195=U195,"실제 낙찰가 동액","실제 낙찰가 초과")),"")</f>
        <v/>
      </c>
      <c r="AB195" s="7">
        <f>IF(AND(ISNUMBER(M195),M195&gt;0,ISNUMBER(R195)),IF(M195&lt;R195,"상한가 미만",IF(M195=R195,"상한가 동액","상한가 초과")),"")</f>
        <v/>
      </c>
      <c r="AC195" s="3" t="n"/>
      <c r="AD195" s="7">
        <f>IF(COUNTA(A195:Q195,S195:V195,AC195)=0,"",IF(OR(A195="",B195="",C195="",NOT(ISNUMBER(G195))),"식별값 확인",IF(COUNTIFS(A$2:A$301,A195,B$2:B$301,B195,C$2:C$301,C195,G$2:G$301,G195)&gt;1,"중복 회차",IF(AND(ISNUMBER(K195),K195&gt;G195),"기일 후 예측",IF(AND(T195="낙찰",W195=""),"평가 입력 확인","")))))</f>
        <v/>
      </c>
    </row>
    <row r="196">
      <c r="A196" s="2" t="n"/>
      <c r="B196" s="2" t="n"/>
      <c r="C196" s="2" t="n"/>
      <c r="D196" s="2" t="n"/>
      <c r="E196" s="2" t="n"/>
      <c r="F196" s="2" t="n"/>
      <c r="G196" s="4" t="n"/>
      <c r="H196" s="5" t="n"/>
      <c r="I196" s="5" t="n"/>
      <c r="J196" s="2" t="n"/>
      <c r="K196" s="4" t="n"/>
      <c r="L196" s="5" t="n"/>
      <c r="M196" s="5" t="n"/>
      <c r="N196" s="2" t="n"/>
      <c r="O196" s="5" t="n"/>
      <c r="P196" s="5" t="n"/>
      <c r="Q196" s="5" t="n"/>
      <c r="R196" s="6">
        <f>IF(COUNT(O196:Q196)=3,O196-P196-Q196,"")</f>
        <v/>
      </c>
      <c r="S196" s="2" t="n"/>
      <c r="T196" s="2" t="n"/>
      <c r="U196" s="5" t="n"/>
      <c r="V196" s="2" t="n"/>
      <c r="W196" s="7">
        <f>IF(AND(A196&lt;&gt;"",B196&lt;&gt;"",C196&lt;&gt;"",ISNUMBER(G196),ISNUMBER(K196),K196&lt;=G196,K196&gt;0,T196="낙찰",ISNUMBER(L196),L196&gt;0,ISNUMBER(U196),U196&gt;0,COUNTIFS(A$2:A$301,A196,B$2:B$301,B196,C$2:C$301,C196,G$2:G$301,G196)=1),"평가 가능","")</f>
        <v/>
      </c>
      <c r="X196" s="8">
        <f>IF(W196="평가 가능",(L196-U196)/U196,"")</f>
        <v/>
      </c>
      <c r="Y196" s="8">
        <f>IF(W196="평가 가능",ABS(X196),"")</f>
        <v/>
      </c>
      <c r="Z196" s="7">
        <f>IF(AND(ISNUMBER(M196),M196&gt;0,ISNUMBER(I196)),IF(M196&lt;I196,"최저가 미달",IF(M196=I196,"최저가 동액","최저가 초과")),"")</f>
        <v/>
      </c>
      <c r="AA196" s="7">
        <f>IF(AND(T196="낙찰",ISNUMBER(M196),M196&gt;0,ISNUMBER(U196)),IF(M196&lt;U196,"실제 낙찰가 미만",IF(M196=U196,"실제 낙찰가 동액","실제 낙찰가 초과")),"")</f>
        <v/>
      </c>
      <c r="AB196" s="7">
        <f>IF(AND(ISNUMBER(M196),M196&gt;0,ISNUMBER(R196)),IF(M196&lt;R196,"상한가 미만",IF(M196=R196,"상한가 동액","상한가 초과")),"")</f>
        <v/>
      </c>
      <c r="AC196" s="2" t="n"/>
      <c r="AD196" s="7">
        <f>IF(COUNTA(A196:Q196,S196:V196,AC196)=0,"",IF(OR(A196="",B196="",C196="",NOT(ISNUMBER(G196))),"식별값 확인",IF(COUNTIFS(A$2:A$301,A196,B$2:B$301,B196,C$2:C$301,C196,G$2:G$301,G196)&gt;1,"중복 회차",IF(AND(ISNUMBER(K196),K196&gt;G196),"기일 후 예측",IF(AND(T196="낙찰",W196=""),"평가 입력 확인","")))))</f>
        <v/>
      </c>
    </row>
    <row r="197">
      <c r="A197" s="3" t="n"/>
      <c r="B197" s="3" t="n"/>
      <c r="C197" s="3" t="n"/>
      <c r="D197" s="3" t="n"/>
      <c r="E197" s="3" t="n"/>
      <c r="F197" s="3" t="n"/>
      <c r="G197" s="9" t="n"/>
      <c r="H197" s="10" t="n"/>
      <c r="I197" s="10" t="n"/>
      <c r="J197" s="3" t="n"/>
      <c r="K197" s="9" t="n"/>
      <c r="L197" s="10" t="n"/>
      <c r="M197" s="10" t="n"/>
      <c r="N197" s="3" t="n"/>
      <c r="O197" s="10" t="n"/>
      <c r="P197" s="10" t="n"/>
      <c r="Q197" s="10" t="n"/>
      <c r="R197" s="6">
        <f>IF(COUNT(O197:Q197)=3,O197-P197-Q197,"")</f>
        <v/>
      </c>
      <c r="S197" s="3" t="n"/>
      <c r="T197" s="3" t="n"/>
      <c r="U197" s="10" t="n"/>
      <c r="V197" s="3" t="n"/>
      <c r="W197" s="7">
        <f>IF(AND(A197&lt;&gt;"",B197&lt;&gt;"",C197&lt;&gt;"",ISNUMBER(G197),ISNUMBER(K197),K197&lt;=G197,K197&gt;0,T197="낙찰",ISNUMBER(L197),L197&gt;0,ISNUMBER(U197),U197&gt;0,COUNTIFS(A$2:A$301,A197,B$2:B$301,B197,C$2:C$301,C197,G$2:G$301,G197)=1),"평가 가능","")</f>
        <v/>
      </c>
      <c r="X197" s="8">
        <f>IF(W197="평가 가능",(L197-U197)/U197,"")</f>
        <v/>
      </c>
      <c r="Y197" s="8">
        <f>IF(W197="평가 가능",ABS(X197),"")</f>
        <v/>
      </c>
      <c r="Z197" s="7">
        <f>IF(AND(ISNUMBER(M197),M197&gt;0,ISNUMBER(I197)),IF(M197&lt;I197,"최저가 미달",IF(M197=I197,"최저가 동액","최저가 초과")),"")</f>
        <v/>
      </c>
      <c r="AA197" s="7">
        <f>IF(AND(T197="낙찰",ISNUMBER(M197),M197&gt;0,ISNUMBER(U197)),IF(M197&lt;U197,"실제 낙찰가 미만",IF(M197=U197,"실제 낙찰가 동액","실제 낙찰가 초과")),"")</f>
        <v/>
      </c>
      <c r="AB197" s="7">
        <f>IF(AND(ISNUMBER(M197),M197&gt;0,ISNUMBER(R197)),IF(M197&lt;R197,"상한가 미만",IF(M197=R197,"상한가 동액","상한가 초과")),"")</f>
        <v/>
      </c>
      <c r="AC197" s="3" t="n"/>
      <c r="AD197" s="7">
        <f>IF(COUNTA(A197:Q197,S197:V197,AC197)=0,"",IF(OR(A197="",B197="",C197="",NOT(ISNUMBER(G197))),"식별값 확인",IF(COUNTIFS(A$2:A$301,A197,B$2:B$301,B197,C$2:C$301,C197,G$2:G$301,G197)&gt;1,"중복 회차",IF(AND(ISNUMBER(K197),K197&gt;G197),"기일 후 예측",IF(AND(T197="낙찰",W197=""),"평가 입력 확인","")))))</f>
        <v/>
      </c>
    </row>
    <row r="198">
      <c r="A198" s="2" t="n"/>
      <c r="B198" s="2" t="n"/>
      <c r="C198" s="2" t="n"/>
      <c r="D198" s="2" t="n"/>
      <c r="E198" s="2" t="n"/>
      <c r="F198" s="2" t="n"/>
      <c r="G198" s="4" t="n"/>
      <c r="H198" s="5" t="n"/>
      <c r="I198" s="5" t="n"/>
      <c r="J198" s="2" t="n"/>
      <c r="K198" s="4" t="n"/>
      <c r="L198" s="5" t="n"/>
      <c r="M198" s="5" t="n"/>
      <c r="N198" s="2" t="n"/>
      <c r="O198" s="5" t="n"/>
      <c r="P198" s="5" t="n"/>
      <c r="Q198" s="5" t="n"/>
      <c r="R198" s="6">
        <f>IF(COUNT(O198:Q198)=3,O198-P198-Q198,"")</f>
        <v/>
      </c>
      <c r="S198" s="2" t="n"/>
      <c r="T198" s="2" t="n"/>
      <c r="U198" s="5" t="n"/>
      <c r="V198" s="2" t="n"/>
      <c r="W198" s="7">
        <f>IF(AND(A198&lt;&gt;"",B198&lt;&gt;"",C198&lt;&gt;"",ISNUMBER(G198),ISNUMBER(K198),K198&lt;=G198,K198&gt;0,T198="낙찰",ISNUMBER(L198),L198&gt;0,ISNUMBER(U198),U198&gt;0,COUNTIFS(A$2:A$301,A198,B$2:B$301,B198,C$2:C$301,C198,G$2:G$301,G198)=1),"평가 가능","")</f>
        <v/>
      </c>
      <c r="X198" s="8">
        <f>IF(W198="평가 가능",(L198-U198)/U198,"")</f>
        <v/>
      </c>
      <c r="Y198" s="8">
        <f>IF(W198="평가 가능",ABS(X198),"")</f>
        <v/>
      </c>
      <c r="Z198" s="7">
        <f>IF(AND(ISNUMBER(M198),M198&gt;0,ISNUMBER(I198)),IF(M198&lt;I198,"최저가 미달",IF(M198=I198,"최저가 동액","최저가 초과")),"")</f>
        <v/>
      </c>
      <c r="AA198" s="7">
        <f>IF(AND(T198="낙찰",ISNUMBER(M198),M198&gt;0,ISNUMBER(U198)),IF(M198&lt;U198,"실제 낙찰가 미만",IF(M198=U198,"실제 낙찰가 동액","실제 낙찰가 초과")),"")</f>
        <v/>
      </c>
      <c r="AB198" s="7">
        <f>IF(AND(ISNUMBER(M198),M198&gt;0,ISNUMBER(R198)),IF(M198&lt;R198,"상한가 미만",IF(M198=R198,"상한가 동액","상한가 초과")),"")</f>
        <v/>
      </c>
      <c r="AC198" s="2" t="n"/>
      <c r="AD198" s="7">
        <f>IF(COUNTA(A198:Q198,S198:V198,AC198)=0,"",IF(OR(A198="",B198="",C198="",NOT(ISNUMBER(G198))),"식별값 확인",IF(COUNTIFS(A$2:A$301,A198,B$2:B$301,B198,C$2:C$301,C198,G$2:G$301,G198)&gt;1,"중복 회차",IF(AND(ISNUMBER(K198),K198&gt;G198),"기일 후 예측",IF(AND(T198="낙찰",W198=""),"평가 입력 확인","")))))</f>
        <v/>
      </c>
    </row>
    <row r="199">
      <c r="A199" s="3" t="n"/>
      <c r="B199" s="3" t="n"/>
      <c r="C199" s="3" t="n"/>
      <c r="D199" s="3" t="n"/>
      <c r="E199" s="3" t="n"/>
      <c r="F199" s="3" t="n"/>
      <c r="G199" s="9" t="n"/>
      <c r="H199" s="10" t="n"/>
      <c r="I199" s="10" t="n"/>
      <c r="J199" s="3" t="n"/>
      <c r="K199" s="9" t="n"/>
      <c r="L199" s="10" t="n"/>
      <c r="M199" s="10" t="n"/>
      <c r="N199" s="3" t="n"/>
      <c r="O199" s="10" t="n"/>
      <c r="P199" s="10" t="n"/>
      <c r="Q199" s="10" t="n"/>
      <c r="R199" s="6">
        <f>IF(COUNT(O199:Q199)=3,O199-P199-Q199,"")</f>
        <v/>
      </c>
      <c r="S199" s="3" t="n"/>
      <c r="T199" s="3" t="n"/>
      <c r="U199" s="10" t="n"/>
      <c r="V199" s="3" t="n"/>
      <c r="W199" s="7">
        <f>IF(AND(A199&lt;&gt;"",B199&lt;&gt;"",C199&lt;&gt;"",ISNUMBER(G199),ISNUMBER(K199),K199&lt;=G199,K199&gt;0,T199="낙찰",ISNUMBER(L199),L199&gt;0,ISNUMBER(U199),U199&gt;0,COUNTIFS(A$2:A$301,A199,B$2:B$301,B199,C$2:C$301,C199,G$2:G$301,G199)=1),"평가 가능","")</f>
        <v/>
      </c>
      <c r="X199" s="8">
        <f>IF(W199="평가 가능",(L199-U199)/U199,"")</f>
        <v/>
      </c>
      <c r="Y199" s="8">
        <f>IF(W199="평가 가능",ABS(X199),"")</f>
        <v/>
      </c>
      <c r="Z199" s="7">
        <f>IF(AND(ISNUMBER(M199),M199&gt;0,ISNUMBER(I199)),IF(M199&lt;I199,"최저가 미달",IF(M199=I199,"최저가 동액","최저가 초과")),"")</f>
        <v/>
      </c>
      <c r="AA199" s="7">
        <f>IF(AND(T199="낙찰",ISNUMBER(M199),M199&gt;0,ISNUMBER(U199)),IF(M199&lt;U199,"실제 낙찰가 미만",IF(M199=U199,"실제 낙찰가 동액","실제 낙찰가 초과")),"")</f>
        <v/>
      </c>
      <c r="AB199" s="7">
        <f>IF(AND(ISNUMBER(M199),M199&gt;0,ISNUMBER(R199)),IF(M199&lt;R199,"상한가 미만",IF(M199=R199,"상한가 동액","상한가 초과")),"")</f>
        <v/>
      </c>
      <c r="AC199" s="3" t="n"/>
      <c r="AD199" s="7">
        <f>IF(COUNTA(A199:Q199,S199:V199,AC199)=0,"",IF(OR(A199="",B199="",C199="",NOT(ISNUMBER(G199))),"식별값 확인",IF(COUNTIFS(A$2:A$301,A199,B$2:B$301,B199,C$2:C$301,C199,G$2:G$301,G199)&gt;1,"중복 회차",IF(AND(ISNUMBER(K199),K199&gt;G199),"기일 후 예측",IF(AND(T199="낙찰",W199=""),"평가 입력 확인","")))))</f>
        <v/>
      </c>
    </row>
    <row r="200">
      <c r="A200" s="2" t="n"/>
      <c r="B200" s="2" t="n"/>
      <c r="C200" s="2" t="n"/>
      <c r="D200" s="2" t="n"/>
      <c r="E200" s="2" t="n"/>
      <c r="F200" s="2" t="n"/>
      <c r="G200" s="4" t="n"/>
      <c r="H200" s="5" t="n"/>
      <c r="I200" s="5" t="n"/>
      <c r="J200" s="2" t="n"/>
      <c r="K200" s="4" t="n"/>
      <c r="L200" s="5" t="n"/>
      <c r="M200" s="5" t="n"/>
      <c r="N200" s="2" t="n"/>
      <c r="O200" s="5" t="n"/>
      <c r="P200" s="5" t="n"/>
      <c r="Q200" s="5" t="n"/>
      <c r="R200" s="6">
        <f>IF(COUNT(O200:Q200)=3,O200-P200-Q200,"")</f>
        <v/>
      </c>
      <c r="S200" s="2" t="n"/>
      <c r="T200" s="2" t="n"/>
      <c r="U200" s="5" t="n"/>
      <c r="V200" s="2" t="n"/>
      <c r="W200" s="7">
        <f>IF(AND(A200&lt;&gt;"",B200&lt;&gt;"",C200&lt;&gt;"",ISNUMBER(G200),ISNUMBER(K200),K200&lt;=G200,K200&gt;0,T200="낙찰",ISNUMBER(L200),L200&gt;0,ISNUMBER(U200),U200&gt;0,COUNTIFS(A$2:A$301,A200,B$2:B$301,B200,C$2:C$301,C200,G$2:G$301,G200)=1),"평가 가능","")</f>
        <v/>
      </c>
      <c r="X200" s="8">
        <f>IF(W200="평가 가능",(L200-U200)/U200,"")</f>
        <v/>
      </c>
      <c r="Y200" s="8">
        <f>IF(W200="평가 가능",ABS(X200),"")</f>
        <v/>
      </c>
      <c r="Z200" s="7">
        <f>IF(AND(ISNUMBER(M200),M200&gt;0,ISNUMBER(I200)),IF(M200&lt;I200,"최저가 미달",IF(M200=I200,"최저가 동액","최저가 초과")),"")</f>
        <v/>
      </c>
      <c r="AA200" s="7">
        <f>IF(AND(T200="낙찰",ISNUMBER(M200),M200&gt;0,ISNUMBER(U200)),IF(M200&lt;U200,"실제 낙찰가 미만",IF(M200=U200,"실제 낙찰가 동액","실제 낙찰가 초과")),"")</f>
        <v/>
      </c>
      <c r="AB200" s="7">
        <f>IF(AND(ISNUMBER(M200),M200&gt;0,ISNUMBER(R200)),IF(M200&lt;R200,"상한가 미만",IF(M200=R200,"상한가 동액","상한가 초과")),"")</f>
        <v/>
      </c>
      <c r="AC200" s="2" t="n"/>
      <c r="AD200" s="7">
        <f>IF(COUNTA(A200:Q200,S200:V200,AC200)=0,"",IF(OR(A200="",B200="",C200="",NOT(ISNUMBER(G200))),"식별값 확인",IF(COUNTIFS(A$2:A$301,A200,B$2:B$301,B200,C$2:C$301,C200,G$2:G$301,G200)&gt;1,"중복 회차",IF(AND(ISNUMBER(K200),K200&gt;G200),"기일 후 예측",IF(AND(T200="낙찰",W200=""),"평가 입력 확인","")))))</f>
        <v/>
      </c>
    </row>
    <row r="201">
      <c r="A201" s="3" t="n"/>
      <c r="B201" s="3" t="n"/>
      <c r="C201" s="3" t="n"/>
      <c r="D201" s="3" t="n"/>
      <c r="E201" s="3" t="n"/>
      <c r="F201" s="3" t="n"/>
      <c r="G201" s="9" t="n"/>
      <c r="H201" s="10" t="n"/>
      <c r="I201" s="10" t="n"/>
      <c r="J201" s="3" t="n"/>
      <c r="K201" s="9" t="n"/>
      <c r="L201" s="10" t="n"/>
      <c r="M201" s="10" t="n"/>
      <c r="N201" s="3" t="n"/>
      <c r="O201" s="10" t="n"/>
      <c r="P201" s="10" t="n"/>
      <c r="Q201" s="10" t="n"/>
      <c r="R201" s="6">
        <f>IF(COUNT(O201:Q201)=3,O201-P201-Q201,"")</f>
        <v/>
      </c>
      <c r="S201" s="3" t="n"/>
      <c r="T201" s="3" t="n"/>
      <c r="U201" s="10" t="n"/>
      <c r="V201" s="3" t="n"/>
      <c r="W201" s="7">
        <f>IF(AND(A201&lt;&gt;"",B201&lt;&gt;"",C201&lt;&gt;"",ISNUMBER(G201),ISNUMBER(K201),K201&lt;=G201,K201&gt;0,T201="낙찰",ISNUMBER(L201),L201&gt;0,ISNUMBER(U201),U201&gt;0,COUNTIFS(A$2:A$301,A201,B$2:B$301,B201,C$2:C$301,C201,G$2:G$301,G201)=1),"평가 가능","")</f>
        <v/>
      </c>
      <c r="X201" s="8">
        <f>IF(W201="평가 가능",(L201-U201)/U201,"")</f>
        <v/>
      </c>
      <c r="Y201" s="8">
        <f>IF(W201="평가 가능",ABS(X201),"")</f>
        <v/>
      </c>
      <c r="Z201" s="7">
        <f>IF(AND(ISNUMBER(M201),M201&gt;0,ISNUMBER(I201)),IF(M201&lt;I201,"최저가 미달",IF(M201=I201,"최저가 동액","최저가 초과")),"")</f>
        <v/>
      </c>
      <c r="AA201" s="7">
        <f>IF(AND(T201="낙찰",ISNUMBER(M201),M201&gt;0,ISNUMBER(U201)),IF(M201&lt;U201,"실제 낙찰가 미만",IF(M201=U201,"실제 낙찰가 동액","실제 낙찰가 초과")),"")</f>
        <v/>
      </c>
      <c r="AB201" s="7">
        <f>IF(AND(ISNUMBER(M201),M201&gt;0,ISNUMBER(R201)),IF(M201&lt;R201,"상한가 미만",IF(M201=R201,"상한가 동액","상한가 초과")),"")</f>
        <v/>
      </c>
      <c r="AC201" s="3" t="n"/>
      <c r="AD201" s="7">
        <f>IF(COUNTA(A201:Q201,S201:V201,AC201)=0,"",IF(OR(A201="",B201="",C201="",NOT(ISNUMBER(G201))),"식별값 확인",IF(COUNTIFS(A$2:A$301,A201,B$2:B$301,B201,C$2:C$301,C201,G$2:G$301,G201)&gt;1,"중복 회차",IF(AND(ISNUMBER(K201),K201&gt;G201),"기일 후 예측",IF(AND(T201="낙찰",W201=""),"평가 입력 확인","")))))</f>
        <v/>
      </c>
    </row>
    <row r="202">
      <c r="A202" s="2" t="n"/>
      <c r="B202" s="2" t="n"/>
      <c r="C202" s="2" t="n"/>
      <c r="D202" s="2" t="n"/>
      <c r="E202" s="2" t="n"/>
      <c r="F202" s="2" t="n"/>
      <c r="G202" s="4" t="n"/>
      <c r="H202" s="5" t="n"/>
      <c r="I202" s="5" t="n"/>
      <c r="J202" s="2" t="n"/>
      <c r="K202" s="4" t="n"/>
      <c r="L202" s="5" t="n"/>
      <c r="M202" s="5" t="n"/>
      <c r="N202" s="2" t="n"/>
      <c r="O202" s="5" t="n"/>
      <c r="P202" s="5" t="n"/>
      <c r="Q202" s="5" t="n"/>
      <c r="R202" s="6">
        <f>IF(COUNT(O202:Q202)=3,O202-P202-Q202,"")</f>
        <v/>
      </c>
      <c r="S202" s="2" t="n"/>
      <c r="T202" s="2" t="n"/>
      <c r="U202" s="5" t="n"/>
      <c r="V202" s="2" t="n"/>
      <c r="W202" s="7">
        <f>IF(AND(A202&lt;&gt;"",B202&lt;&gt;"",C202&lt;&gt;"",ISNUMBER(G202),ISNUMBER(K202),K202&lt;=G202,K202&gt;0,T202="낙찰",ISNUMBER(L202),L202&gt;0,ISNUMBER(U202),U202&gt;0,COUNTIFS(A$2:A$301,A202,B$2:B$301,B202,C$2:C$301,C202,G$2:G$301,G202)=1),"평가 가능","")</f>
        <v/>
      </c>
      <c r="X202" s="8">
        <f>IF(W202="평가 가능",(L202-U202)/U202,"")</f>
        <v/>
      </c>
      <c r="Y202" s="8">
        <f>IF(W202="평가 가능",ABS(X202),"")</f>
        <v/>
      </c>
      <c r="Z202" s="7">
        <f>IF(AND(ISNUMBER(M202),M202&gt;0,ISNUMBER(I202)),IF(M202&lt;I202,"최저가 미달",IF(M202=I202,"최저가 동액","최저가 초과")),"")</f>
        <v/>
      </c>
      <c r="AA202" s="7">
        <f>IF(AND(T202="낙찰",ISNUMBER(M202),M202&gt;0,ISNUMBER(U202)),IF(M202&lt;U202,"실제 낙찰가 미만",IF(M202=U202,"실제 낙찰가 동액","실제 낙찰가 초과")),"")</f>
        <v/>
      </c>
      <c r="AB202" s="7">
        <f>IF(AND(ISNUMBER(M202),M202&gt;0,ISNUMBER(R202)),IF(M202&lt;R202,"상한가 미만",IF(M202=R202,"상한가 동액","상한가 초과")),"")</f>
        <v/>
      </c>
      <c r="AC202" s="2" t="n"/>
      <c r="AD202" s="7">
        <f>IF(COUNTA(A202:Q202,S202:V202,AC202)=0,"",IF(OR(A202="",B202="",C202="",NOT(ISNUMBER(G202))),"식별값 확인",IF(COUNTIFS(A$2:A$301,A202,B$2:B$301,B202,C$2:C$301,C202,G$2:G$301,G202)&gt;1,"중복 회차",IF(AND(ISNUMBER(K202),K202&gt;G202),"기일 후 예측",IF(AND(T202="낙찰",W202=""),"평가 입력 확인","")))))</f>
        <v/>
      </c>
    </row>
    <row r="203">
      <c r="A203" s="3" t="n"/>
      <c r="B203" s="3" t="n"/>
      <c r="C203" s="3" t="n"/>
      <c r="D203" s="3" t="n"/>
      <c r="E203" s="3" t="n"/>
      <c r="F203" s="3" t="n"/>
      <c r="G203" s="9" t="n"/>
      <c r="H203" s="10" t="n"/>
      <c r="I203" s="10" t="n"/>
      <c r="J203" s="3" t="n"/>
      <c r="K203" s="9" t="n"/>
      <c r="L203" s="10" t="n"/>
      <c r="M203" s="10" t="n"/>
      <c r="N203" s="3" t="n"/>
      <c r="O203" s="10" t="n"/>
      <c r="P203" s="10" t="n"/>
      <c r="Q203" s="10" t="n"/>
      <c r="R203" s="6">
        <f>IF(COUNT(O203:Q203)=3,O203-P203-Q203,"")</f>
        <v/>
      </c>
      <c r="S203" s="3" t="n"/>
      <c r="T203" s="3" t="n"/>
      <c r="U203" s="10" t="n"/>
      <c r="V203" s="3" t="n"/>
      <c r="W203" s="7">
        <f>IF(AND(A203&lt;&gt;"",B203&lt;&gt;"",C203&lt;&gt;"",ISNUMBER(G203),ISNUMBER(K203),K203&lt;=G203,K203&gt;0,T203="낙찰",ISNUMBER(L203),L203&gt;0,ISNUMBER(U203),U203&gt;0,COUNTIFS(A$2:A$301,A203,B$2:B$301,B203,C$2:C$301,C203,G$2:G$301,G203)=1),"평가 가능","")</f>
        <v/>
      </c>
      <c r="X203" s="8">
        <f>IF(W203="평가 가능",(L203-U203)/U203,"")</f>
        <v/>
      </c>
      <c r="Y203" s="8">
        <f>IF(W203="평가 가능",ABS(X203),"")</f>
        <v/>
      </c>
      <c r="Z203" s="7">
        <f>IF(AND(ISNUMBER(M203),M203&gt;0,ISNUMBER(I203)),IF(M203&lt;I203,"최저가 미달",IF(M203=I203,"최저가 동액","최저가 초과")),"")</f>
        <v/>
      </c>
      <c r="AA203" s="7">
        <f>IF(AND(T203="낙찰",ISNUMBER(M203),M203&gt;0,ISNUMBER(U203)),IF(M203&lt;U203,"실제 낙찰가 미만",IF(M203=U203,"실제 낙찰가 동액","실제 낙찰가 초과")),"")</f>
        <v/>
      </c>
      <c r="AB203" s="7">
        <f>IF(AND(ISNUMBER(M203),M203&gt;0,ISNUMBER(R203)),IF(M203&lt;R203,"상한가 미만",IF(M203=R203,"상한가 동액","상한가 초과")),"")</f>
        <v/>
      </c>
      <c r="AC203" s="3" t="n"/>
      <c r="AD203" s="7">
        <f>IF(COUNTA(A203:Q203,S203:V203,AC203)=0,"",IF(OR(A203="",B203="",C203="",NOT(ISNUMBER(G203))),"식별값 확인",IF(COUNTIFS(A$2:A$301,A203,B$2:B$301,B203,C$2:C$301,C203,G$2:G$301,G203)&gt;1,"중복 회차",IF(AND(ISNUMBER(K203),K203&gt;G203),"기일 후 예측",IF(AND(T203="낙찰",W203=""),"평가 입력 확인","")))))</f>
        <v/>
      </c>
    </row>
    <row r="204">
      <c r="A204" s="2" t="n"/>
      <c r="B204" s="2" t="n"/>
      <c r="C204" s="2" t="n"/>
      <c r="D204" s="2" t="n"/>
      <c r="E204" s="2" t="n"/>
      <c r="F204" s="2" t="n"/>
      <c r="G204" s="4" t="n"/>
      <c r="H204" s="5" t="n"/>
      <c r="I204" s="5" t="n"/>
      <c r="J204" s="2" t="n"/>
      <c r="K204" s="4" t="n"/>
      <c r="L204" s="5" t="n"/>
      <c r="M204" s="5" t="n"/>
      <c r="N204" s="2" t="n"/>
      <c r="O204" s="5" t="n"/>
      <c r="P204" s="5" t="n"/>
      <c r="Q204" s="5" t="n"/>
      <c r="R204" s="6">
        <f>IF(COUNT(O204:Q204)=3,O204-P204-Q204,"")</f>
        <v/>
      </c>
      <c r="S204" s="2" t="n"/>
      <c r="T204" s="2" t="n"/>
      <c r="U204" s="5" t="n"/>
      <c r="V204" s="2" t="n"/>
      <c r="W204" s="7">
        <f>IF(AND(A204&lt;&gt;"",B204&lt;&gt;"",C204&lt;&gt;"",ISNUMBER(G204),ISNUMBER(K204),K204&lt;=G204,K204&gt;0,T204="낙찰",ISNUMBER(L204),L204&gt;0,ISNUMBER(U204),U204&gt;0,COUNTIFS(A$2:A$301,A204,B$2:B$301,B204,C$2:C$301,C204,G$2:G$301,G204)=1),"평가 가능","")</f>
        <v/>
      </c>
      <c r="X204" s="8">
        <f>IF(W204="평가 가능",(L204-U204)/U204,"")</f>
        <v/>
      </c>
      <c r="Y204" s="8">
        <f>IF(W204="평가 가능",ABS(X204),"")</f>
        <v/>
      </c>
      <c r="Z204" s="7">
        <f>IF(AND(ISNUMBER(M204),M204&gt;0,ISNUMBER(I204)),IF(M204&lt;I204,"최저가 미달",IF(M204=I204,"최저가 동액","최저가 초과")),"")</f>
        <v/>
      </c>
      <c r="AA204" s="7">
        <f>IF(AND(T204="낙찰",ISNUMBER(M204),M204&gt;0,ISNUMBER(U204)),IF(M204&lt;U204,"실제 낙찰가 미만",IF(M204=U204,"실제 낙찰가 동액","실제 낙찰가 초과")),"")</f>
        <v/>
      </c>
      <c r="AB204" s="7">
        <f>IF(AND(ISNUMBER(M204),M204&gt;0,ISNUMBER(R204)),IF(M204&lt;R204,"상한가 미만",IF(M204=R204,"상한가 동액","상한가 초과")),"")</f>
        <v/>
      </c>
      <c r="AC204" s="2" t="n"/>
      <c r="AD204" s="7">
        <f>IF(COUNTA(A204:Q204,S204:V204,AC204)=0,"",IF(OR(A204="",B204="",C204="",NOT(ISNUMBER(G204))),"식별값 확인",IF(COUNTIFS(A$2:A$301,A204,B$2:B$301,B204,C$2:C$301,C204,G$2:G$301,G204)&gt;1,"중복 회차",IF(AND(ISNUMBER(K204),K204&gt;G204),"기일 후 예측",IF(AND(T204="낙찰",W204=""),"평가 입력 확인","")))))</f>
        <v/>
      </c>
    </row>
    <row r="205">
      <c r="A205" s="3" t="n"/>
      <c r="B205" s="3" t="n"/>
      <c r="C205" s="3" t="n"/>
      <c r="D205" s="3" t="n"/>
      <c r="E205" s="3" t="n"/>
      <c r="F205" s="3" t="n"/>
      <c r="G205" s="9" t="n"/>
      <c r="H205" s="10" t="n"/>
      <c r="I205" s="10" t="n"/>
      <c r="J205" s="3" t="n"/>
      <c r="K205" s="9" t="n"/>
      <c r="L205" s="10" t="n"/>
      <c r="M205" s="10" t="n"/>
      <c r="N205" s="3" t="n"/>
      <c r="O205" s="10" t="n"/>
      <c r="P205" s="10" t="n"/>
      <c r="Q205" s="10" t="n"/>
      <c r="R205" s="6">
        <f>IF(COUNT(O205:Q205)=3,O205-P205-Q205,"")</f>
        <v/>
      </c>
      <c r="S205" s="3" t="n"/>
      <c r="T205" s="3" t="n"/>
      <c r="U205" s="10" t="n"/>
      <c r="V205" s="3" t="n"/>
      <c r="W205" s="7">
        <f>IF(AND(A205&lt;&gt;"",B205&lt;&gt;"",C205&lt;&gt;"",ISNUMBER(G205),ISNUMBER(K205),K205&lt;=G205,K205&gt;0,T205="낙찰",ISNUMBER(L205),L205&gt;0,ISNUMBER(U205),U205&gt;0,COUNTIFS(A$2:A$301,A205,B$2:B$301,B205,C$2:C$301,C205,G$2:G$301,G205)=1),"평가 가능","")</f>
        <v/>
      </c>
      <c r="X205" s="8">
        <f>IF(W205="평가 가능",(L205-U205)/U205,"")</f>
        <v/>
      </c>
      <c r="Y205" s="8">
        <f>IF(W205="평가 가능",ABS(X205),"")</f>
        <v/>
      </c>
      <c r="Z205" s="7">
        <f>IF(AND(ISNUMBER(M205),M205&gt;0,ISNUMBER(I205)),IF(M205&lt;I205,"최저가 미달",IF(M205=I205,"최저가 동액","최저가 초과")),"")</f>
        <v/>
      </c>
      <c r="AA205" s="7">
        <f>IF(AND(T205="낙찰",ISNUMBER(M205),M205&gt;0,ISNUMBER(U205)),IF(M205&lt;U205,"실제 낙찰가 미만",IF(M205=U205,"실제 낙찰가 동액","실제 낙찰가 초과")),"")</f>
        <v/>
      </c>
      <c r="AB205" s="7">
        <f>IF(AND(ISNUMBER(M205),M205&gt;0,ISNUMBER(R205)),IF(M205&lt;R205,"상한가 미만",IF(M205=R205,"상한가 동액","상한가 초과")),"")</f>
        <v/>
      </c>
      <c r="AC205" s="3" t="n"/>
      <c r="AD205" s="7">
        <f>IF(COUNTA(A205:Q205,S205:V205,AC205)=0,"",IF(OR(A205="",B205="",C205="",NOT(ISNUMBER(G205))),"식별값 확인",IF(COUNTIFS(A$2:A$301,A205,B$2:B$301,B205,C$2:C$301,C205,G$2:G$301,G205)&gt;1,"중복 회차",IF(AND(ISNUMBER(K205),K205&gt;G205),"기일 후 예측",IF(AND(T205="낙찰",W205=""),"평가 입력 확인","")))))</f>
        <v/>
      </c>
    </row>
    <row r="206">
      <c r="A206" s="2" t="n"/>
      <c r="B206" s="2" t="n"/>
      <c r="C206" s="2" t="n"/>
      <c r="D206" s="2" t="n"/>
      <c r="E206" s="2" t="n"/>
      <c r="F206" s="2" t="n"/>
      <c r="G206" s="4" t="n"/>
      <c r="H206" s="5" t="n"/>
      <c r="I206" s="5" t="n"/>
      <c r="J206" s="2" t="n"/>
      <c r="K206" s="4" t="n"/>
      <c r="L206" s="5" t="n"/>
      <c r="M206" s="5" t="n"/>
      <c r="N206" s="2" t="n"/>
      <c r="O206" s="5" t="n"/>
      <c r="P206" s="5" t="n"/>
      <c r="Q206" s="5" t="n"/>
      <c r="R206" s="6">
        <f>IF(COUNT(O206:Q206)=3,O206-P206-Q206,"")</f>
        <v/>
      </c>
      <c r="S206" s="2" t="n"/>
      <c r="T206" s="2" t="n"/>
      <c r="U206" s="5" t="n"/>
      <c r="V206" s="2" t="n"/>
      <c r="W206" s="7">
        <f>IF(AND(A206&lt;&gt;"",B206&lt;&gt;"",C206&lt;&gt;"",ISNUMBER(G206),ISNUMBER(K206),K206&lt;=G206,K206&gt;0,T206="낙찰",ISNUMBER(L206),L206&gt;0,ISNUMBER(U206),U206&gt;0,COUNTIFS(A$2:A$301,A206,B$2:B$301,B206,C$2:C$301,C206,G$2:G$301,G206)=1),"평가 가능","")</f>
        <v/>
      </c>
      <c r="X206" s="8">
        <f>IF(W206="평가 가능",(L206-U206)/U206,"")</f>
        <v/>
      </c>
      <c r="Y206" s="8">
        <f>IF(W206="평가 가능",ABS(X206),"")</f>
        <v/>
      </c>
      <c r="Z206" s="7">
        <f>IF(AND(ISNUMBER(M206),M206&gt;0,ISNUMBER(I206)),IF(M206&lt;I206,"최저가 미달",IF(M206=I206,"최저가 동액","최저가 초과")),"")</f>
        <v/>
      </c>
      <c r="AA206" s="7">
        <f>IF(AND(T206="낙찰",ISNUMBER(M206),M206&gt;0,ISNUMBER(U206)),IF(M206&lt;U206,"실제 낙찰가 미만",IF(M206=U206,"실제 낙찰가 동액","실제 낙찰가 초과")),"")</f>
        <v/>
      </c>
      <c r="AB206" s="7">
        <f>IF(AND(ISNUMBER(M206),M206&gt;0,ISNUMBER(R206)),IF(M206&lt;R206,"상한가 미만",IF(M206=R206,"상한가 동액","상한가 초과")),"")</f>
        <v/>
      </c>
      <c r="AC206" s="2" t="n"/>
      <c r="AD206" s="7">
        <f>IF(COUNTA(A206:Q206,S206:V206,AC206)=0,"",IF(OR(A206="",B206="",C206="",NOT(ISNUMBER(G206))),"식별값 확인",IF(COUNTIFS(A$2:A$301,A206,B$2:B$301,B206,C$2:C$301,C206,G$2:G$301,G206)&gt;1,"중복 회차",IF(AND(ISNUMBER(K206),K206&gt;G206),"기일 후 예측",IF(AND(T206="낙찰",W206=""),"평가 입력 확인","")))))</f>
        <v/>
      </c>
    </row>
    <row r="207">
      <c r="A207" s="3" t="n"/>
      <c r="B207" s="3" t="n"/>
      <c r="C207" s="3" t="n"/>
      <c r="D207" s="3" t="n"/>
      <c r="E207" s="3" t="n"/>
      <c r="F207" s="3" t="n"/>
      <c r="G207" s="9" t="n"/>
      <c r="H207" s="10" t="n"/>
      <c r="I207" s="10" t="n"/>
      <c r="J207" s="3" t="n"/>
      <c r="K207" s="9" t="n"/>
      <c r="L207" s="10" t="n"/>
      <c r="M207" s="10" t="n"/>
      <c r="N207" s="3" t="n"/>
      <c r="O207" s="10" t="n"/>
      <c r="P207" s="10" t="n"/>
      <c r="Q207" s="10" t="n"/>
      <c r="R207" s="6">
        <f>IF(COUNT(O207:Q207)=3,O207-P207-Q207,"")</f>
        <v/>
      </c>
      <c r="S207" s="3" t="n"/>
      <c r="T207" s="3" t="n"/>
      <c r="U207" s="10" t="n"/>
      <c r="V207" s="3" t="n"/>
      <c r="W207" s="7">
        <f>IF(AND(A207&lt;&gt;"",B207&lt;&gt;"",C207&lt;&gt;"",ISNUMBER(G207),ISNUMBER(K207),K207&lt;=G207,K207&gt;0,T207="낙찰",ISNUMBER(L207),L207&gt;0,ISNUMBER(U207),U207&gt;0,COUNTIFS(A$2:A$301,A207,B$2:B$301,B207,C$2:C$301,C207,G$2:G$301,G207)=1),"평가 가능","")</f>
        <v/>
      </c>
      <c r="X207" s="8">
        <f>IF(W207="평가 가능",(L207-U207)/U207,"")</f>
        <v/>
      </c>
      <c r="Y207" s="8">
        <f>IF(W207="평가 가능",ABS(X207),"")</f>
        <v/>
      </c>
      <c r="Z207" s="7">
        <f>IF(AND(ISNUMBER(M207),M207&gt;0,ISNUMBER(I207)),IF(M207&lt;I207,"최저가 미달",IF(M207=I207,"최저가 동액","최저가 초과")),"")</f>
        <v/>
      </c>
      <c r="AA207" s="7">
        <f>IF(AND(T207="낙찰",ISNUMBER(M207),M207&gt;0,ISNUMBER(U207)),IF(M207&lt;U207,"실제 낙찰가 미만",IF(M207=U207,"실제 낙찰가 동액","실제 낙찰가 초과")),"")</f>
        <v/>
      </c>
      <c r="AB207" s="7">
        <f>IF(AND(ISNUMBER(M207),M207&gt;0,ISNUMBER(R207)),IF(M207&lt;R207,"상한가 미만",IF(M207=R207,"상한가 동액","상한가 초과")),"")</f>
        <v/>
      </c>
      <c r="AC207" s="3" t="n"/>
      <c r="AD207" s="7">
        <f>IF(COUNTA(A207:Q207,S207:V207,AC207)=0,"",IF(OR(A207="",B207="",C207="",NOT(ISNUMBER(G207))),"식별값 확인",IF(COUNTIFS(A$2:A$301,A207,B$2:B$301,B207,C$2:C$301,C207,G$2:G$301,G207)&gt;1,"중복 회차",IF(AND(ISNUMBER(K207),K207&gt;G207),"기일 후 예측",IF(AND(T207="낙찰",W207=""),"평가 입력 확인","")))))</f>
        <v/>
      </c>
    </row>
    <row r="208">
      <c r="A208" s="2" t="n"/>
      <c r="B208" s="2" t="n"/>
      <c r="C208" s="2" t="n"/>
      <c r="D208" s="2" t="n"/>
      <c r="E208" s="2" t="n"/>
      <c r="F208" s="2" t="n"/>
      <c r="G208" s="4" t="n"/>
      <c r="H208" s="5" t="n"/>
      <c r="I208" s="5" t="n"/>
      <c r="J208" s="2" t="n"/>
      <c r="K208" s="4" t="n"/>
      <c r="L208" s="5" t="n"/>
      <c r="M208" s="5" t="n"/>
      <c r="N208" s="2" t="n"/>
      <c r="O208" s="5" t="n"/>
      <c r="P208" s="5" t="n"/>
      <c r="Q208" s="5" t="n"/>
      <c r="R208" s="6">
        <f>IF(COUNT(O208:Q208)=3,O208-P208-Q208,"")</f>
        <v/>
      </c>
      <c r="S208" s="2" t="n"/>
      <c r="T208" s="2" t="n"/>
      <c r="U208" s="5" t="n"/>
      <c r="V208" s="2" t="n"/>
      <c r="W208" s="7">
        <f>IF(AND(A208&lt;&gt;"",B208&lt;&gt;"",C208&lt;&gt;"",ISNUMBER(G208),ISNUMBER(K208),K208&lt;=G208,K208&gt;0,T208="낙찰",ISNUMBER(L208),L208&gt;0,ISNUMBER(U208),U208&gt;0,COUNTIFS(A$2:A$301,A208,B$2:B$301,B208,C$2:C$301,C208,G$2:G$301,G208)=1),"평가 가능","")</f>
        <v/>
      </c>
      <c r="X208" s="8">
        <f>IF(W208="평가 가능",(L208-U208)/U208,"")</f>
        <v/>
      </c>
      <c r="Y208" s="8">
        <f>IF(W208="평가 가능",ABS(X208),"")</f>
        <v/>
      </c>
      <c r="Z208" s="7">
        <f>IF(AND(ISNUMBER(M208),M208&gt;0,ISNUMBER(I208)),IF(M208&lt;I208,"최저가 미달",IF(M208=I208,"최저가 동액","최저가 초과")),"")</f>
        <v/>
      </c>
      <c r="AA208" s="7">
        <f>IF(AND(T208="낙찰",ISNUMBER(M208),M208&gt;0,ISNUMBER(U208)),IF(M208&lt;U208,"실제 낙찰가 미만",IF(M208=U208,"실제 낙찰가 동액","실제 낙찰가 초과")),"")</f>
        <v/>
      </c>
      <c r="AB208" s="7">
        <f>IF(AND(ISNUMBER(M208),M208&gt;0,ISNUMBER(R208)),IF(M208&lt;R208,"상한가 미만",IF(M208=R208,"상한가 동액","상한가 초과")),"")</f>
        <v/>
      </c>
      <c r="AC208" s="2" t="n"/>
      <c r="AD208" s="7">
        <f>IF(COUNTA(A208:Q208,S208:V208,AC208)=0,"",IF(OR(A208="",B208="",C208="",NOT(ISNUMBER(G208))),"식별값 확인",IF(COUNTIFS(A$2:A$301,A208,B$2:B$301,B208,C$2:C$301,C208,G$2:G$301,G208)&gt;1,"중복 회차",IF(AND(ISNUMBER(K208),K208&gt;G208),"기일 후 예측",IF(AND(T208="낙찰",W208=""),"평가 입력 확인","")))))</f>
        <v/>
      </c>
    </row>
    <row r="209">
      <c r="A209" s="3" t="n"/>
      <c r="B209" s="3" t="n"/>
      <c r="C209" s="3" t="n"/>
      <c r="D209" s="3" t="n"/>
      <c r="E209" s="3" t="n"/>
      <c r="F209" s="3" t="n"/>
      <c r="G209" s="9" t="n"/>
      <c r="H209" s="10" t="n"/>
      <c r="I209" s="10" t="n"/>
      <c r="J209" s="3" t="n"/>
      <c r="K209" s="9" t="n"/>
      <c r="L209" s="10" t="n"/>
      <c r="M209" s="10" t="n"/>
      <c r="N209" s="3" t="n"/>
      <c r="O209" s="10" t="n"/>
      <c r="P209" s="10" t="n"/>
      <c r="Q209" s="10" t="n"/>
      <c r="R209" s="6">
        <f>IF(COUNT(O209:Q209)=3,O209-P209-Q209,"")</f>
        <v/>
      </c>
      <c r="S209" s="3" t="n"/>
      <c r="T209" s="3" t="n"/>
      <c r="U209" s="10" t="n"/>
      <c r="V209" s="3" t="n"/>
      <c r="W209" s="7">
        <f>IF(AND(A209&lt;&gt;"",B209&lt;&gt;"",C209&lt;&gt;"",ISNUMBER(G209),ISNUMBER(K209),K209&lt;=G209,K209&gt;0,T209="낙찰",ISNUMBER(L209),L209&gt;0,ISNUMBER(U209),U209&gt;0,COUNTIFS(A$2:A$301,A209,B$2:B$301,B209,C$2:C$301,C209,G$2:G$301,G209)=1),"평가 가능","")</f>
        <v/>
      </c>
      <c r="X209" s="8">
        <f>IF(W209="평가 가능",(L209-U209)/U209,"")</f>
        <v/>
      </c>
      <c r="Y209" s="8">
        <f>IF(W209="평가 가능",ABS(X209),"")</f>
        <v/>
      </c>
      <c r="Z209" s="7">
        <f>IF(AND(ISNUMBER(M209),M209&gt;0,ISNUMBER(I209)),IF(M209&lt;I209,"최저가 미달",IF(M209=I209,"최저가 동액","최저가 초과")),"")</f>
        <v/>
      </c>
      <c r="AA209" s="7">
        <f>IF(AND(T209="낙찰",ISNUMBER(M209),M209&gt;0,ISNUMBER(U209)),IF(M209&lt;U209,"실제 낙찰가 미만",IF(M209=U209,"실제 낙찰가 동액","실제 낙찰가 초과")),"")</f>
        <v/>
      </c>
      <c r="AB209" s="7">
        <f>IF(AND(ISNUMBER(M209),M209&gt;0,ISNUMBER(R209)),IF(M209&lt;R209,"상한가 미만",IF(M209=R209,"상한가 동액","상한가 초과")),"")</f>
        <v/>
      </c>
      <c r="AC209" s="3" t="n"/>
      <c r="AD209" s="7">
        <f>IF(COUNTA(A209:Q209,S209:V209,AC209)=0,"",IF(OR(A209="",B209="",C209="",NOT(ISNUMBER(G209))),"식별값 확인",IF(COUNTIFS(A$2:A$301,A209,B$2:B$301,B209,C$2:C$301,C209,G$2:G$301,G209)&gt;1,"중복 회차",IF(AND(ISNUMBER(K209),K209&gt;G209),"기일 후 예측",IF(AND(T209="낙찰",W209=""),"평가 입력 확인","")))))</f>
        <v/>
      </c>
    </row>
    <row r="210">
      <c r="A210" s="2" t="n"/>
      <c r="B210" s="2" t="n"/>
      <c r="C210" s="2" t="n"/>
      <c r="D210" s="2" t="n"/>
      <c r="E210" s="2" t="n"/>
      <c r="F210" s="2" t="n"/>
      <c r="G210" s="4" t="n"/>
      <c r="H210" s="5" t="n"/>
      <c r="I210" s="5" t="n"/>
      <c r="J210" s="2" t="n"/>
      <c r="K210" s="4" t="n"/>
      <c r="L210" s="5" t="n"/>
      <c r="M210" s="5" t="n"/>
      <c r="N210" s="2" t="n"/>
      <c r="O210" s="5" t="n"/>
      <c r="P210" s="5" t="n"/>
      <c r="Q210" s="5" t="n"/>
      <c r="R210" s="6">
        <f>IF(COUNT(O210:Q210)=3,O210-P210-Q210,"")</f>
        <v/>
      </c>
      <c r="S210" s="2" t="n"/>
      <c r="T210" s="2" t="n"/>
      <c r="U210" s="5" t="n"/>
      <c r="V210" s="2" t="n"/>
      <c r="W210" s="7">
        <f>IF(AND(A210&lt;&gt;"",B210&lt;&gt;"",C210&lt;&gt;"",ISNUMBER(G210),ISNUMBER(K210),K210&lt;=G210,K210&gt;0,T210="낙찰",ISNUMBER(L210),L210&gt;0,ISNUMBER(U210),U210&gt;0,COUNTIFS(A$2:A$301,A210,B$2:B$301,B210,C$2:C$301,C210,G$2:G$301,G210)=1),"평가 가능","")</f>
        <v/>
      </c>
      <c r="X210" s="8">
        <f>IF(W210="평가 가능",(L210-U210)/U210,"")</f>
        <v/>
      </c>
      <c r="Y210" s="8">
        <f>IF(W210="평가 가능",ABS(X210),"")</f>
        <v/>
      </c>
      <c r="Z210" s="7">
        <f>IF(AND(ISNUMBER(M210),M210&gt;0,ISNUMBER(I210)),IF(M210&lt;I210,"최저가 미달",IF(M210=I210,"최저가 동액","최저가 초과")),"")</f>
        <v/>
      </c>
      <c r="AA210" s="7">
        <f>IF(AND(T210="낙찰",ISNUMBER(M210),M210&gt;0,ISNUMBER(U210)),IF(M210&lt;U210,"실제 낙찰가 미만",IF(M210=U210,"실제 낙찰가 동액","실제 낙찰가 초과")),"")</f>
        <v/>
      </c>
      <c r="AB210" s="7">
        <f>IF(AND(ISNUMBER(M210),M210&gt;0,ISNUMBER(R210)),IF(M210&lt;R210,"상한가 미만",IF(M210=R210,"상한가 동액","상한가 초과")),"")</f>
        <v/>
      </c>
      <c r="AC210" s="2" t="n"/>
      <c r="AD210" s="7">
        <f>IF(COUNTA(A210:Q210,S210:V210,AC210)=0,"",IF(OR(A210="",B210="",C210="",NOT(ISNUMBER(G210))),"식별값 확인",IF(COUNTIFS(A$2:A$301,A210,B$2:B$301,B210,C$2:C$301,C210,G$2:G$301,G210)&gt;1,"중복 회차",IF(AND(ISNUMBER(K210),K210&gt;G210),"기일 후 예측",IF(AND(T210="낙찰",W210=""),"평가 입력 확인","")))))</f>
        <v/>
      </c>
    </row>
    <row r="211">
      <c r="A211" s="3" t="n"/>
      <c r="B211" s="3" t="n"/>
      <c r="C211" s="3" t="n"/>
      <c r="D211" s="3" t="n"/>
      <c r="E211" s="3" t="n"/>
      <c r="F211" s="3" t="n"/>
      <c r="G211" s="9" t="n"/>
      <c r="H211" s="10" t="n"/>
      <c r="I211" s="10" t="n"/>
      <c r="J211" s="3" t="n"/>
      <c r="K211" s="9" t="n"/>
      <c r="L211" s="10" t="n"/>
      <c r="M211" s="10" t="n"/>
      <c r="N211" s="3" t="n"/>
      <c r="O211" s="10" t="n"/>
      <c r="P211" s="10" t="n"/>
      <c r="Q211" s="10" t="n"/>
      <c r="R211" s="6">
        <f>IF(COUNT(O211:Q211)=3,O211-P211-Q211,"")</f>
        <v/>
      </c>
      <c r="S211" s="3" t="n"/>
      <c r="T211" s="3" t="n"/>
      <c r="U211" s="10" t="n"/>
      <c r="V211" s="3" t="n"/>
      <c r="W211" s="7">
        <f>IF(AND(A211&lt;&gt;"",B211&lt;&gt;"",C211&lt;&gt;"",ISNUMBER(G211),ISNUMBER(K211),K211&lt;=G211,K211&gt;0,T211="낙찰",ISNUMBER(L211),L211&gt;0,ISNUMBER(U211),U211&gt;0,COUNTIFS(A$2:A$301,A211,B$2:B$301,B211,C$2:C$301,C211,G$2:G$301,G211)=1),"평가 가능","")</f>
        <v/>
      </c>
      <c r="X211" s="8">
        <f>IF(W211="평가 가능",(L211-U211)/U211,"")</f>
        <v/>
      </c>
      <c r="Y211" s="8">
        <f>IF(W211="평가 가능",ABS(X211),"")</f>
        <v/>
      </c>
      <c r="Z211" s="7">
        <f>IF(AND(ISNUMBER(M211),M211&gt;0,ISNUMBER(I211)),IF(M211&lt;I211,"최저가 미달",IF(M211=I211,"최저가 동액","최저가 초과")),"")</f>
        <v/>
      </c>
      <c r="AA211" s="7">
        <f>IF(AND(T211="낙찰",ISNUMBER(M211),M211&gt;0,ISNUMBER(U211)),IF(M211&lt;U211,"실제 낙찰가 미만",IF(M211=U211,"실제 낙찰가 동액","실제 낙찰가 초과")),"")</f>
        <v/>
      </c>
      <c r="AB211" s="7">
        <f>IF(AND(ISNUMBER(M211),M211&gt;0,ISNUMBER(R211)),IF(M211&lt;R211,"상한가 미만",IF(M211=R211,"상한가 동액","상한가 초과")),"")</f>
        <v/>
      </c>
      <c r="AC211" s="3" t="n"/>
      <c r="AD211" s="7">
        <f>IF(COUNTA(A211:Q211,S211:V211,AC211)=0,"",IF(OR(A211="",B211="",C211="",NOT(ISNUMBER(G211))),"식별값 확인",IF(COUNTIFS(A$2:A$301,A211,B$2:B$301,B211,C$2:C$301,C211,G$2:G$301,G211)&gt;1,"중복 회차",IF(AND(ISNUMBER(K211),K211&gt;G211),"기일 후 예측",IF(AND(T211="낙찰",W211=""),"평가 입력 확인","")))))</f>
        <v/>
      </c>
    </row>
    <row r="212">
      <c r="A212" s="2" t="n"/>
      <c r="B212" s="2" t="n"/>
      <c r="C212" s="2" t="n"/>
      <c r="D212" s="2" t="n"/>
      <c r="E212" s="2" t="n"/>
      <c r="F212" s="2" t="n"/>
      <c r="G212" s="4" t="n"/>
      <c r="H212" s="5" t="n"/>
      <c r="I212" s="5" t="n"/>
      <c r="J212" s="2" t="n"/>
      <c r="K212" s="4" t="n"/>
      <c r="L212" s="5" t="n"/>
      <c r="M212" s="5" t="n"/>
      <c r="N212" s="2" t="n"/>
      <c r="O212" s="5" t="n"/>
      <c r="P212" s="5" t="n"/>
      <c r="Q212" s="5" t="n"/>
      <c r="R212" s="6">
        <f>IF(COUNT(O212:Q212)=3,O212-P212-Q212,"")</f>
        <v/>
      </c>
      <c r="S212" s="2" t="n"/>
      <c r="T212" s="2" t="n"/>
      <c r="U212" s="5" t="n"/>
      <c r="V212" s="2" t="n"/>
      <c r="W212" s="7">
        <f>IF(AND(A212&lt;&gt;"",B212&lt;&gt;"",C212&lt;&gt;"",ISNUMBER(G212),ISNUMBER(K212),K212&lt;=G212,K212&gt;0,T212="낙찰",ISNUMBER(L212),L212&gt;0,ISNUMBER(U212),U212&gt;0,COUNTIFS(A$2:A$301,A212,B$2:B$301,B212,C$2:C$301,C212,G$2:G$301,G212)=1),"평가 가능","")</f>
        <v/>
      </c>
      <c r="X212" s="8">
        <f>IF(W212="평가 가능",(L212-U212)/U212,"")</f>
        <v/>
      </c>
      <c r="Y212" s="8">
        <f>IF(W212="평가 가능",ABS(X212),"")</f>
        <v/>
      </c>
      <c r="Z212" s="7">
        <f>IF(AND(ISNUMBER(M212),M212&gt;0,ISNUMBER(I212)),IF(M212&lt;I212,"최저가 미달",IF(M212=I212,"최저가 동액","최저가 초과")),"")</f>
        <v/>
      </c>
      <c r="AA212" s="7">
        <f>IF(AND(T212="낙찰",ISNUMBER(M212),M212&gt;0,ISNUMBER(U212)),IF(M212&lt;U212,"실제 낙찰가 미만",IF(M212=U212,"실제 낙찰가 동액","실제 낙찰가 초과")),"")</f>
        <v/>
      </c>
      <c r="AB212" s="7">
        <f>IF(AND(ISNUMBER(M212),M212&gt;0,ISNUMBER(R212)),IF(M212&lt;R212,"상한가 미만",IF(M212=R212,"상한가 동액","상한가 초과")),"")</f>
        <v/>
      </c>
      <c r="AC212" s="2" t="n"/>
      <c r="AD212" s="7">
        <f>IF(COUNTA(A212:Q212,S212:V212,AC212)=0,"",IF(OR(A212="",B212="",C212="",NOT(ISNUMBER(G212))),"식별값 확인",IF(COUNTIFS(A$2:A$301,A212,B$2:B$301,B212,C$2:C$301,C212,G$2:G$301,G212)&gt;1,"중복 회차",IF(AND(ISNUMBER(K212),K212&gt;G212),"기일 후 예측",IF(AND(T212="낙찰",W212=""),"평가 입력 확인","")))))</f>
        <v/>
      </c>
    </row>
    <row r="213">
      <c r="A213" s="3" t="n"/>
      <c r="B213" s="3" t="n"/>
      <c r="C213" s="3" t="n"/>
      <c r="D213" s="3" t="n"/>
      <c r="E213" s="3" t="n"/>
      <c r="F213" s="3" t="n"/>
      <c r="G213" s="9" t="n"/>
      <c r="H213" s="10" t="n"/>
      <c r="I213" s="10" t="n"/>
      <c r="J213" s="3" t="n"/>
      <c r="K213" s="9" t="n"/>
      <c r="L213" s="10" t="n"/>
      <c r="M213" s="10" t="n"/>
      <c r="N213" s="3" t="n"/>
      <c r="O213" s="10" t="n"/>
      <c r="P213" s="10" t="n"/>
      <c r="Q213" s="10" t="n"/>
      <c r="R213" s="6">
        <f>IF(COUNT(O213:Q213)=3,O213-P213-Q213,"")</f>
        <v/>
      </c>
      <c r="S213" s="3" t="n"/>
      <c r="T213" s="3" t="n"/>
      <c r="U213" s="10" t="n"/>
      <c r="V213" s="3" t="n"/>
      <c r="W213" s="7">
        <f>IF(AND(A213&lt;&gt;"",B213&lt;&gt;"",C213&lt;&gt;"",ISNUMBER(G213),ISNUMBER(K213),K213&lt;=G213,K213&gt;0,T213="낙찰",ISNUMBER(L213),L213&gt;0,ISNUMBER(U213),U213&gt;0,COUNTIFS(A$2:A$301,A213,B$2:B$301,B213,C$2:C$301,C213,G$2:G$301,G213)=1),"평가 가능","")</f>
        <v/>
      </c>
      <c r="X213" s="8">
        <f>IF(W213="평가 가능",(L213-U213)/U213,"")</f>
        <v/>
      </c>
      <c r="Y213" s="8">
        <f>IF(W213="평가 가능",ABS(X213),"")</f>
        <v/>
      </c>
      <c r="Z213" s="7">
        <f>IF(AND(ISNUMBER(M213),M213&gt;0,ISNUMBER(I213)),IF(M213&lt;I213,"최저가 미달",IF(M213=I213,"최저가 동액","최저가 초과")),"")</f>
        <v/>
      </c>
      <c r="AA213" s="7">
        <f>IF(AND(T213="낙찰",ISNUMBER(M213),M213&gt;0,ISNUMBER(U213)),IF(M213&lt;U213,"실제 낙찰가 미만",IF(M213=U213,"실제 낙찰가 동액","실제 낙찰가 초과")),"")</f>
        <v/>
      </c>
      <c r="AB213" s="7">
        <f>IF(AND(ISNUMBER(M213),M213&gt;0,ISNUMBER(R213)),IF(M213&lt;R213,"상한가 미만",IF(M213=R213,"상한가 동액","상한가 초과")),"")</f>
        <v/>
      </c>
      <c r="AC213" s="3" t="n"/>
      <c r="AD213" s="7">
        <f>IF(COUNTA(A213:Q213,S213:V213,AC213)=0,"",IF(OR(A213="",B213="",C213="",NOT(ISNUMBER(G213))),"식별값 확인",IF(COUNTIFS(A$2:A$301,A213,B$2:B$301,B213,C$2:C$301,C213,G$2:G$301,G213)&gt;1,"중복 회차",IF(AND(ISNUMBER(K213),K213&gt;G213),"기일 후 예측",IF(AND(T213="낙찰",W213=""),"평가 입력 확인","")))))</f>
        <v/>
      </c>
    </row>
    <row r="214">
      <c r="A214" s="2" t="n"/>
      <c r="B214" s="2" t="n"/>
      <c r="C214" s="2" t="n"/>
      <c r="D214" s="2" t="n"/>
      <c r="E214" s="2" t="n"/>
      <c r="F214" s="2" t="n"/>
      <c r="G214" s="4" t="n"/>
      <c r="H214" s="5" t="n"/>
      <c r="I214" s="5" t="n"/>
      <c r="J214" s="2" t="n"/>
      <c r="K214" s="4" t="n"/>
      <c r="L214" s="5" t="n"/>
      <c r="M214" s="5" t="n"/>
      <c r="N214" s="2" t="n"/>
      <c r="O214" s="5" t="n"/>
      <c r="P214" s="5" t="n"/>
      <c r="Q214" s="5" t="n"/>
      <c r="R214" s="6">
        <f>IF(COUNT(O214:Q214)=3,O214-P214-Q214,"")</f>
        <v/>
      </c>
      <c r="S214" s="2" t="n"/>
      <c r="T214" s="2" t="n"/>
      <c r="U214" s="5" t="n"/>
      <c r="V214" s="2" t="n"/>
      <c r="W214" s="7">
        <f>IF(AND(A214&lt;&gt;"",B214&lt;&gt;"",C214&lt;&gt;"",ISNUMBER(G214),ISNUMBER(K214),K214&lt;=G214,K214&gt;0,T214="낙찰",ISNUMBER(L214),L214&gt;0,ISNUMBER(U214),U214&gt;0,COUNTIFS(A$2:A$301,A214,B$2:B$301,B214,C$2:C$301,C214,G$2:G$301,G214)=1),"평가 가능","")</f>
        <v/>
      </c>
      <c r="X214" s="8">
        <f>IF(W214="평가 가능",(L214-U214)/U214,"")</f>
        <v/>
      </c>
      <c r="Y214" s="8">
        <f>IF(W214="평가 가능",ABS(X214),"")</f>
        <v/>
      </c>
      <c r="Z214" s="7">
        <f>IF(AND(ISNUMBER(M214),M214&gt;0,ISNUMBER(I214)),IF(M214&lt;I214,"최저가 미달",IF(M214=I214,"최저가 동액","최저가 초과")),"")</f>
        <v/>
      </c>
      <c r="AA214" s="7">
        <f>IF(AND(T214="낙찰",ISNUMBER(M214),M214&gt;0,ISNUMBER(U214)),IF(M214&lt;U214,"실제 낙찰가 미만",IF(M214=U214,"실제 낙찰가 동액","실제 낙찰가 초과")),"")</f>
        <v/>
      </c>
      <c r="AB214" s="7">
        <f>IF(AND(ISNUMBER(M214),M214&gt;0,ISNUMBER(R214)),IF(M214&lt;R214,"상한가 미만",IF(M214=R214,"상한가 동액","상한가 초과")),"")</f>
        <v/>
      </c>
      <c r="AC214" s="2" t="n"/>
      <c r="AD214" s="7">
        <f>IF(COUNTA(A214:Q214,S214:V214,AC214)=0,"",IF(OR(A214="",B214="",C214="",NOT(ISNUMBER(G214))),"식별값 확인",IF(COUNTIFS(A$2:A$301,A214,B$2:B$301,B214,C$2:C$301,C214,G$2:G$301,G214)&gt;1,"중복 회차",IF(AND(ISNUMBER(K214),K214&gt;G214),"기일 후 예측",IF(AND(T214="낙찰",W214=""),"평가 입력 확인","")))))</f>
        <v/>
      </c>
    </row>
    <row r="215">
      <c r="A215" s="3" t="n"/>
      <c r="B215" s="3" t="n"/>
      <c r="C215" s="3" t="n"/>
      <c r="D215" s="3" t="n"/>
      <c r="E215" s="3" t="n"/>
      <c r="F215" s="3" t="n"/>
      <c r="G215" s="9" t="n"/>
      <c r="H215" s="10" t="n"/>
      <c r="I215" s="10" t="n"/>
      <c r="J215" s="3" t="n"/>
      <c r="K215" s="9" t="n"/>
      <c r="L215" s="10" t="n"/>
      <c r="M215" s="10" t="n"/>
      <c r="N215" s="3" t="n"/>
      <c r="O215" s="10" t="n"/>
      <c r="P215" s="10" t="n"/>
      <c r="Q215" s="10" t="n"/>
      <c r="R215" s="6">
        <f>IF(COUNT(O215:Q215)=3,O215-P215-Q215,"")</f>
        <v/>
      </c>
      <c r="S215" s="3" t="n"/>
      <c r="T215" s="3" t="n"/>
      <c r="U215" s="10" t="n"/>
      <c r="V215" s="3" t="n"/>
      <c r="W215" s="7">
        <f>IF(AND(A215&lt;&gt;"",B215&lt;&gt;"",C215&lt;&gt;"",ISNUMBER(G215),ISNUMBER(K215),K215&lt;=G215,K215&gt;0,T215="낙찰",ISNUMBER(L215),L215&gt;0,ISNUMBER(U215),U215&gt;0,COUNTIFS(A$2:A$301,A215,B$2:B$301,B215,C$2:C$301,C215,G$2:G$301,G215)=1),"평가 가능","")</f>
        <v/>
      </c>
      <c r="X215" s="8">
        <f>IF(W215="평가 가능",(L215-U215)/U215,"")</f>
        <v/>
      </c>
      <c r="Y215" s="8">
        <f>IF(W215="평가 가능",ABS(X215),"")</f>
        <v/>
      </c>
      <c r="Z215" s="7">
        <f>IF(AND(ISNUMBER(M215),M215&gt;0,ISNUMBER(I215)),IF(M215&lt;I215,"최저가 미달",IF(M215=I215,"최저가 동액","최저가 초과")),"")</f>
        <v/>
      </c>
      <c r="AA215" s="7">
        <f>IF(AND(T215="낙찰",ISNUMBER(M215),M215&gt;0,ISNUMBER(U215)),IF(M215&lt;U215,"실제 낙찰가 미만",IF(M215=U215,"실제 낙찰가 동액","실제 낙찰가 초과")),"")</f>
        <v/>
      </c>
      <c r="AB215" s="7">
        <f>IF(AND(ISNUMBER(M215),M215&gt;0,ISNUMBER(R215)),IF(M215&lt;R215,"상한가 미만",IF(M215=R215,"상한가 동액","상한가 초과")),"")</f>
        <v/>
      </c>
      <c r="AC215" s="3" t="n"/>
      <c r="AD215" s="7">
        <f>IF(COUNTA(A215:Q215,S215:V215,AC215)=0,"",IF(OR(A215="",B215="",C215="",NOT(ISNUMBER(G215))),"식별값 확인",IF(COUNTIFS(A$2:A$301,A215,B$2:B$301,B215,C$2:C$301,C215,G$2:G$301,G215)&gt;1,"중복 회차",IF(AND(ISNUMBER(K215),K215&gt;G215),"기일 후 예측",IF(AND(T215="낙찰",W215=""),"평가 입력 확인","")))))</f>
        <v/>
      </c>
    </row>
    <row r="216">
      <c r="A216" s="2" t="n"/>
      <c r="B216" s="2" t="n"/>
      <c r="C216" s="2" t="n"/>
      <c r="D216" s="2" t="n"/>
      <c r="E216" s="2" t="n"/>
      <c r="F216" s="2" t="n"/>
      <c r="G216" s="4" t="n"/>
      <c r="H216" s="5" t="n"/>
      <c r="I216" s="5" t="n"/>
      <c r="J216" s="2" t="n"/>
      <c r="K216" s="4" t="n"/>
      <c r="L216" s="5" t="n"/>
      <c r="M216" s="5" t="n"/>
      <c r="N216" s="2" t="n"/>
      <c r="O216" s="5" t="n"/>
      <c r="P216" s="5" t="n"/>
      <c r="Q216" s="5" t="n"/>
      <c r="R216" s="6">
        <f>IF(COUNT(O216:Q216)=3,O216-P216-Q216,"")</f>
        <v/>
      </c>
      <c r="S216" s="2" t="n"/>
      <c r="T216" s="2" t="n"/>
      <c r="U216" s="5" t="n"/>
      <c r="V216" s="2" t="n"/>
      <c r="W216" s="7">
        <f>IF(AND(A216&lt;&gt;"",B216&lt;&gt;"",C216&lt;&gt;"",ISNUMBER(G216),ISNUMBER(K216),K216&lt;=G216,K216&gt;0,T216="낙찰",ISNUMBER(L216),L216&gt;0,ISNUMBER(U216),U216&gt;0,COUNTIFS(A$2:A$301,A216,B$2:B$301,B216,C$2:C$301,C216,G$2:G$301,G216)=1),"평가 가능","")</f>
        <v/>
      </c>
      <c r="X216" s="8">
        <f>IF(W216="평가 가능",(L216-U216)/U216,"")</f>
        <v/>
      </c>
      <c r="Y216" s="8">
        <f>IF(W216="평가 가능",ABS(X216),"")</f>
        <v/>
      </c>
      <c r="Z216" s="7">
        <f>IF(AND(ISNUMBER(M216),M216&gt;0,ISNUMBER(I216)),IF(M216&lt;I216,"최저가 미달",IF(M216=I216,"최저가 동액","최저가 초과")),"")</f>
        <v/>
      </c>
      <c r="AA216" s="7">
        <f>IF(AND(T216="낙찰",ISNUMBER(M216),M216&gt;0,ISNUMBER(U216)),IF(M216&lt;U216,"실제 낙찰가 미만",IF(M216=U216,"실제 낙찰가 동액","실제 낙찰가 초과")),"")</f>
        <v/>
      </c>
      <c r="AB216" s="7">
        <f>IF(AND(ISNUMBER(M216),M216&gt;0,ISNUMBER(R216)),IF(M216&lt;R216,"상한가 미만",IF(M216=R216,"상한가 동액","상한가 초과")),"")</f>
        <v/>
      </c>
      <c r="AC216" s="2" t="n"/>
      <c r="AD216" s="7">
        <f>IF(COUNTA(A216:Q216,S216:V216,AC216)=0,"",IF(OR(A216="",B216="",C216="",NOT(ISNUMBER(G216))),"식별값 확인",IF(COUNTIFS(A$2:A$301,A216,B$2:B$301,B216,C$2:C$301,C216,G$2:G$301,G216)&gt;1,"중복 회차",IF(AND(ISNUMBER(K216),K216&gt;G216),"기일 후 예측",IF(AND(T216="낙찰",W216=""),"평가 입력 확인","")))))</f>
        <v/>
      </c>
    </row>
    <row r="217">
      <c r="A217" s="3" t="n"/>
      <c r="B217" s="3" t="n"/>
      <c r="C217" s="3" t="n"/>
      <c r="D217" s="3" t="n"/>
      <c r="E217" s="3" t="n"/>
      <c r="F217" s="3" t="n"/>
      <c r="G217" s="9" t="n"/>
      <c r="H217" s="10" t="n"/>
      <c r="I217" s="10" t="n"/>
      <c r="J217" s="3" t="n"/>
      <c r="K217" s="9" t="n"/>
      <c r="L217" s="10" t="n"/>
      <c r="M217" s="10" t="n"/>
      <c r="N217" s="3" t="n"/>
      <c r="O217" s="10" t="n"/>
      <c r="P217" s="10" t="n"/>
      <c r="Q217" s="10" t="n"/>
      <c r="R217" s="6">
        <f>IF(COUNT(O217:Q217)=3,O217-P217-Q217,"")</f>
        <v/>
      </c>
      <c r="S217" s="3" t="n"/>
      <c r="T217" s="3" t="n"/>
      <c r="U217" s="10" t="n"/>
      <c r="V217" s="3" t="n"/>
      <c r="W217" s="7">
        <f>IF(AND(A217&lt;&gt;"",B217&lt;&gt;"",C217&lt;&gt;"",ISNUMBER(G217),ISNUMBER(K217),K217&lt;=G217,K217&gt;0,T217="낙찰",ISNUMBER(L217),L217&gt;0,ISNUMBER(U217),U217&gt;0,COUNTIFS(A$2:A$301,A217,B$2:B$301,B217,C$2:C$301,C217,G$2:G$301,G217)=1),"평가 가능","")</f>
        <v/>
      </c>
      <c r="X217" s="8">
        <f>IF(W217="평가 가능",(L217-U217)/U217,"")</f>
        <v/>
      </c>
      <c r="Y217" s="8">
        <f>IF(W217="평가 가능",ABS(X217),"")</f>
        <v/>
      </c>
      <c r="Z217" s="7">
        <f>IF(AND(ISNUMBER(M217),M217&gt;0,ISNUMBER(I217)),IF(M217&lt;I217,"최저가 미달",IF(M217=I217,"최저가 동액","최저가 초과")),"")</f>
        <v/>
      </c>
      <c r="AA217" s="7">
        <f>IF(AND(T217="낙찰",ISNUMBER(M217),M217&gt;0,ISNUMBER(U217)),IF(M217&lt;U217,"실제 낙찰가 미만",IF(M217=U217,"실제 낙찰가 동액","실제 낙찰가 초과")),"")</f>
        <v/>
      </c>
      <c r="AB217" s="7">
        <f>IF(AND(ISNUMBER(M217),M217&gt;0,ISNUMBER(R217)),IF(M217&lt;R217,"상한가 미만",IF(M217=R217,"상한가 동액","상한가 초과")),"")</f>
        <v/>
      </c>
      <c r="AC217" s="3" t="n"/>
      <c r="AD217" s="7">
        <f>IF(COUNTA(A217:Q217,S217:V217,AC217)=0,"",IF(OR(A217="",B217="",C217="",NOT(ISNUMBER(G217))),"식별값 확인",IF(COUNTIFS(A$2:A$301,A217,B$2:B$301,B217,C$2:C$301,C217,G$2:G$301,G217)&gt;1,"중복 회차",IF(AND(ISNUMBER(K217),K217&gt;G217),"기일 후 예측",IF(AND(T217="낙찰",W217=""),"평가 입력 확인","")))))</f>
        <v/>
      </c>
    </row>
    <row r="218">
      <c r="A218" s="2" t="n"/>
      <c r="B218" s="2" t="n"/>
      <c r="C218" s="2" t="n"/>
      <c r="D218" s="2" t="n"/>
      <c r="E218" s="2" t="n"/>
      <c r="F218" s="2" t="n"/>
      <c r="G218" s="4" t="n"/>
      <c r="H218" s="5" t="n"/>
      <c r="I218" s="5" t="n"/>
      <c r="J218" s="2" t="n"/>
      <c r="K218" s="4" t="n"/>
      <c r="L218" s="5" t="n"/>
      <c r="M218" s="5" t="n"/>
      <c r="N218" s="2" t="n"/>
      <c r="O218" s="5" t="n"/>
      <c r="P218" s="5" t="n"/>
      <c r="Q218" s="5" t="n"/>
      <c r="R218" s="6">
        <f>IF(COUNT(O218:Q218)=3,O218-P218-Q218,"")</f>
        <v/>
      </c>
      <c r="S218" s="2" t="n"/>
      <c r="T218" s="2" t="n"/>
      <c r="U218" s="5" t="n"/>
      <c r="V218" s="2" t="n"/>
      <c r="W218" s="7">
        <f>IF(AND(A218&lt;&gt;"",B218&lt;&gt;"",C218&lt;&gt;"",ISNUMBER(G218),ISNUMBER(K218),K218&lt;=G218,K218&gt;0,T218="낙찰",ISNUMBER(L218),L218&gt;0,ISNUMBER(U218),U218&gt;0,COUNTIFS(A$2:A$301,A218,B$2:B$301,B218,C$2:C$301,C218,G$2:G$301,G218)=1),"평가 가능","")</f>
        <v/>
      </c>
      <c r="X218" s="8">
        <f>IF(W218="평가 가능",(L218-U218)/U218,"")</f>
        <v/>
      </c>
      <c r="Y218" s="8">
        <f>IF(W218="평가 가능",ABS(X218),"")</f>
        <v/>
      </c>
      <c r="Z218" s="7">
        <f>IF(AND(ISNUMBER(M218),M218&gt;0,ISNUMBER(I218)),IF(M218&lt;I218,"최저가 미달",IF(M218=I218,"최저가 동액","최저가 초과")),"")</f>
        <v/>
      </c>
      <c r="AA218" s="7">
        <f>IF(AND(T218="낙찰",ISNUMBER(M218),M218&gt;0,ISNUMBER(U218)),IF(M218&lt;U218,"실제 낙찰가 미만",IF(M218=U218,"실제 낙찰가 동액","실제 낙찰가 초과")),"")</f>
        <v/>
      </c>
      <c r="AB218" s="7">
        <f>IF(AND(ISNUMBER(M218),M218&gt;0,ISNUMBER(R218)),IF(M218&lt;R218,"상한가 미만",IF(M218=R218,"상한가 동액","상한가 초과")),"")</f>
        <v/>
      </c>
      <c r="AC218" s="2" t="n"/>
      <c r="AD218" s="7">
        <f>IF(COUNTA(A218:Q218,S218:V218,AC218)=0,"",IF(OR(A218="",B218="",C218="",NOT(ISNUMBER(G218))),"식별값 확인",IF(COUNTIFS(A$2:A$301,A218,B$2:B$301,B218,C$2:C$301,C218,G$2:G$301,G218)&gt;1,"중복 회차",IF(AND(ISNUMBER(K218),K218&gt;G218),"기일 후 예측",IF(AND(T218="낙찰",W218=""),"평가 입력 확인","")))))</f>
        <v/>
      </c>
    </row>
    <row r="219">
      <c r="A219" s="3" t="n"/>
      <c r="B219" s="3" t="n"/>
      <c r="C219" s="3" t="n"/>
      <c r="D219" s="3" t="n"/>
      <c r="E219" s="3" t="n"/>
      <c r="F219" s="3" t="n"/>
      <c r="G219" s="9" t="n"/>
      <c r="H219" s="10" t="n"/>
      <c r="I219" s="10" t="n"/>
      <c r="J219" s="3" t="n"/>
      <c r="K219" s="9" t="n"/>
      <c r="L219" s="10" t="n"/>
      <c r="M219" s="10" t="n"/>
      <c r="N219" s="3" t="n"/>
      <c r="O219" s="10" t="n"/>
      <c r="P219" s="10" t="n"/>
      <c r="Q219" s="10" t="n"/>
      <c r="R219" s="6">
        <f>IF(COUNT(O219:Q219)=3,O219-P219-Q219,"")</f>
        <v/>
      </c>
      <c r="S219" s="3" t="n"/>
      <c r="T219" s="3" t="n"/>
      <c r="U219" s="10" t="n"/>
      <c r="V219" s="3" t="n"/>
      <c r="W219" s="7">
        <f>IF(AND(A219&lt;&gt;"",B219&lt;&gt;"",C219&lt;&gt;"",ISNUMBER(G219),ISNUMBER(K219),K219&lt;=G219,K219&gt;0,T219="낙찰",ISNUMBER(L219),L219&gt;0,ISNUMBER(U219),U219&gt;0,COUNTIFS(A$2:A$301,A219,B$2:B$301,B219,C$2:C$301,C219,G$2:G$301,G219)=1),"평가 가능","")</f>
        <v/>
      </c>
      <c r="X219" s="8">
        <f>IF(W219="평가 가능",(L219-U219)/U219,"")</f>
        <v/>
      </c>
      <c r="Y219" s="8">
        <f>IF(W219="평가 가능",ABS(X219),"")</f>
        <v/>
      </c>
      <c r="Z219" s="7">
        <f>IF(AND(ISNUMBER(M219),M219&gt;0,ISNUMBER(I219)),IF(M219&lt;I219,"최저가 미달",IF(M219=I219,"최저가 동액","최저가 초과")),"")</f>
        <v/>
      </c>
      <c r="AA219" s="7">
        <f>IF(AND(T219="낙찰",ISNUMBER(M219),M219&gt;0,ISNUMBER(U219)),IF(M219&lt;U219,"실제 낙찰가 미만",IF(M219=U219,"실제 낙찰가 동액","실제 낙찰가 초과")),"")</f>
        <v/>
      </c>
      <c r="AB219" s="7">
        <f>IF(AND(ISNUMBER(M219),M219&gt;0,ISNUMBER(R219)),IF(M219&lt;R219,"상한가 미만",IF(M219=R219,"상한가 동액","상한가 초과")),"")</f>
        <v/>
      </c>
      <c r="AC219" s="3" t="n"/>
      <c r="AD219" s="7">
        <f>IF(COUNTA(A219:Q219,S219:V219,AC219)=0,"",IF(OR(A219="",B219="",C219="",NOT(ISNUMBER(G219))),"식별값 확인",IF(COUNTIFS(A$2:A$301,A219,B$2:B$301,B219,C$2:C$301,C219,G$2:G$301,G219)&gt;1,"중복 회차",IF(AND(ISNUMBER(K219),K219&gt;G219),"기일 후 예측",IF(AND(T219="낙찰",W219=""),"평가 입력 확인","")))))</f>
        <v/>
      </c>
    </row>
    <row r="220">
      <c r="A220" s="2" t="n"/>
      <c r="B220" s="2" t="n"/>
      <c r="C220" s="2" t="n"/>
      <c r="D220" s="2" t="n"/>
      <c r="E220" s="2" t="n"/>
      <c r="F220" s="2" t="n"/>
      <c r="G220" s="4" t="n"/>
      <c r="H220" s="5" t="n"/>
      <c r="I220" s="5" t="n"/>
      <c r="J220" s="2" t="n"/>
      <c r="K220" s="4" t="n"/>
      <c r="L220" s="5" t="n"/>
      <c r="M220" s="5" t="n"/>
      <c r="N220" s="2" t="n"/>
      <c r="O220" s="5" t="n"/>
      <c r="P220" s="5" t="n"/>
      <c r="Q220" s="5" t="n"/>
      <c r="R220" s="6">
        <f>IF(COUNT(O220:Q220)=3,O220-P220-Q220,"")</f>
        <v/>
      </c>
      <c r="S220" s="2" t="n"/>
      <c r="T220" s="2" t="n"/>
      <c r="U220" s="5" t="n"/>
      <c r="V220" s="2" t="n"/>
      <c r="W220" s="7">
        <f>IF(AND(A220&lt;&gt;"",B220&lt;&gt;"",C220&lt;&gt;"",ISNUMBER(G220),ISNUMBER(K220),K220&lt;=G220,K220&gt;0,T220="낙찰",ISNUMBER(L220),L220&gt;0,ISNUMBER(U220),U220&gt;0,COUNTIFS(A$2:A$301,A220,B$2:B$301,B220,C$2:C$301,C220,G$2:G$301,G220)=1),"평가 가능","")</f>
        <v/>
      </c>
      <c r="X220" s="8">
        <f>IF(W220="평가 가능",(L220-U220)/U220,"")</f>
        <v/>
      </c>
      <c r="Y220" s="8">
        <f>IF(W220="평가 가능",ABS(X220),"")</f>
        <v/>
      </c>
      <c r="Z220" s="7">
        <f>IF(AND(ISNUMBER(M220),M220&gt;0,ISNUMBER(I220)),IF(M220&lt;I220,"최저가 미달",IF(M220=I220,"최저가 동액","최저가 초과")),"")</f>
        <v/>
      </c>
      <c r="AA220" s="7">
        <f>IF(AND(T220="낙찰",ISNUMBER(M220),M220&gt;0,ISNUMBER(U220)),IF(M220&lt;U220,"실제 낙찰가 미만",IF(M220=U220,"실제 낙찰가 동액","실제 낙찰가 초과")),"")</f>
        <v/>
      </c>
      <c r="AB220" s="7">
        <f>IF(AND(ISNUMBER(M220),M220&gt;0,ISNUMBER(R220)),IF(M220&lt;R220,"상한가 미만",IF(M220=R220,"상한가 동액","상한가 초과")),"")</f>
        <v/>
      </c>
      <c r="AC220" s="2" t="n"/>
      <c r="AD220" s="7">
        <f>IF(COUNTA(A220:Q220,S220:V220,AC220)=0,"",IF(OR(A220="",B220="",C220="",NOT(ISNUMBER(G220))),"식별값 확인",IF(COUNTIFS(A$2:A$301,A220,B$2:B$301,B220,C$2:C$301,C220,G$2:G$301,G220)&gt;1,"중복 회차",IF(AND(ISNUMBER(K220),K220&gt;G220),"기일 후 예측",IF(AND(T220="낙찰",W220=""),"평가 입력 확인","")))))</f>
        <v/>
      </c>
    </row>
    <row r="221">
      <c r="A221" s="3" t="n"/>
      <c r="B221" s="3" t="n"/>
      <c r="C221" s="3" t="n"/>
      <c r="D221" s="3" t="n"/>
      <c r="E221" s="3" t="n"/>
      <c r="F221" s="3" t="n"/>
      <c r="G221" s="9" t="n"/>
      <c r="H221" s="10" t="n"/>
      <c r="I221" s="10" t="n"/>
      <c r="J221" s="3" t="n"/>
      <c r="K221" s="9" t="n"/>
      <c r="L221" s="10" t="n"/>
      <c r="M221" s="10" t="n"/>
      <c r="N221" s="3" t="n"/>
      <c r="O221" s="10" t="n"/>
      <c r="P221" s="10" t="n"/>
      <c r="Q221" s="10" t="n"/>
      <c r="R221" s="6">
        <f>IF(COUNT(O221:Q221)=3,O221-P221-Q221,"")</f>
        <v/>
      </c>
      <c r="S221" s="3" t="n"/>
      <c r="T221" s="3" t="n"/>
      <c r="U221" s="10" t="n"/>
      <c r="V221" s="3" t="n"/>
      <c r="W221" s="7">
        <f>IF(AND(A221&lt;&gt;"",B221&lt;&gt;"",C221&lt;&gt;"",ISNUMBER(G221),ISNUMBER(K221),K221&lt;=G221,K221&gt;0,T221="낙찰",ISNUMBER(L221),L221&gt;0,ISNUMBER(U221),U221&gt;0,COUNTIFS(A$2:A$301,A221,B$2:B$301,B221,C$2:C$301,C221,G$2:G$301,G221)=1),"평가 가능","")</f>
        <v/>
      </c>
      <c r="X221" s="8">
        <f>IF(W221="평가 가능",(L221-U221)/U221,"")</f>
        <v/>
      </c>
      <c r="Y221" s="8">
        <f>IF(W221="평가 가능",ABS(X221),"")</f>
        <v/>
      </c>
      <c r="Z221" s="7">
        <f>IF(AND(ISNUMBER(M221),M221&gt;0,ISNUMBER(I221)),IF(M221&lt;I221,"최저가 미달",IF(M221=I221,"최저가 동액","최저가 초과")),"")</f>
        <v/>
      </c>
      <c r="AA221" s="7">
        <f>IF(AND(T221="낙찰",ISNUMBER(M221),M221&gt;0,ISNUMBER(U221)),IF(M221&lt;U221,"실제 낙찰가 미만",IF(M221=U221,"실제 낙찰가 동액","실제 낙찰가 초과")),"")</f>
        <v/>
      </c>
      <c r="AB221" s="7">
        <f>IF(AND(ISNUMBER(M221),M221&gt;0,ISNUMBER(R221)),IF(M221&lt;R221,"상한가 미만",IF(M221=R221,"상한가 동액","상한가 초과")),"")</f>
        <v/>
      </c>
      <c r="AC221" s="3" t="n"/>
      <c r="AD221" s="7">
        <f>IF(COUNTA(A221:Q221,S221:V221,AC221)=0,"",IF(OR(A221="",B221="",C221="",NOT(ISNUMBER(G221))),"식별값 확인",IF(COUNTIFS(A$2:A$301,A221,B$2:B$301,B221,C$2:C$301,C221,G$2:G$301,G221)&gt;1,"중복 회차",IF(AND(ISNUMBER(K221),K221&gt;G221),"기일 후 예측",IF(AND(T221="낙찰",W221=""),"평가 입력 확인","")))))</f>
        <v/>
      </c>
    </row>
    <row r="222">
      <c r="A222" s="2" t="n"/>
      <c r="B222" s="2" t="n"/>
      <c r="C222" s="2" t="n"/>
      <c r="D222" s="2" t="n"/>
      <c r="E222" s="2" t="n"/>
      <c r="F222" s="2" t="n"/>
      <c r="G222" s="4" t="n"/>
      <c r="H222" s="5" t="n"/>
      <c r="I222" s="5" t="n"/>
      <c r="J222" s="2" t="n"/>
      <c r="K222" s="4" t="n"/>
      <c r="L222" s="5" t="n"/>
      <c r="M222" s="5" t="n"/>
      <c r="N222" s="2" t="n"/>
      <c r="O222" s="5" t="n"/>
      <c r="P222" s="5" t="n"/>
      <c r="Q222" s="5" t="n"/>
      <c r="R222" s="6">
        <f>IF(COUNT(O222:Q222)=3,O222-P222-Q222,"")</f>
        <v/>
      </c>
      <c r="S222" s="2" t="n"/>
      <c r="T222" s="2" t="n"/>
      <c r="U222" s="5" t="n"/>
      <c r="V222" s="2" t="n"/>
      <c r="W222" s="7">
        <f>IF(AND(A222&lt;&gt;"",B222&lt;&gt;"",C222&lt;&gt;"",ISNUMBER(G222),ISNUMBER(K222),K222&lt;=G222,K222&gt;0,T222="낙찰",ISNUMBER(L222),L222&gt;0,ISNUMBER(U222),U222&gt;0,COUNTIFS(A$2:A$301,A222,B$2:B$301,B222,C$2:C$301,C222,G$2:G$301,G222)=1),"평가 가능","")</f>
        <v/>
      </c>
      <c r="X222" s="8">
        <f>IF(W222="평가 가능",(L222-U222)/U222,"")</f>
        <v/>
      </c>
      <c r="Y222" s="8">
        <f>IF(W222="평가 가능",ABS(X222),"")</f>
        <v/>
      </c>
      <c r="Z222" s="7">
        <f>IF(AND(ISNUMBER(M222),M222&gt;0,ISNUMBER(I222)),IF(M222&lt;I222,"최저가 미달",IF(M222=I222,"최저가 동액","최저가 초과")),"")</f>
        <v/>
      </c>
      <c r="AA222" s="7">
        <f>IF(AND(T222="낙찰",ISNUMBER(M222),M222&gt;0,ISNUMBER(U222)),IF(M222&lt;U222,"실제 낙찰가 미만",IF(M222=U222,"실제 낙찰가 동액","실제 낙찰가 초과")),"")</f>
        <v/>
      </c>
      <c r="AB222" s="7">
        <f>IF(AND(ISNUMBER(M222),M222&gt;0,ISNUMBER(R222)),IF(M222&lt;R222,"상한가 미만",IF(M222=R222,"상한가 동액","상한가 초과")),"")</f>
        <v/>
      </c>
      <c r="AC222" s="2" t="n"/>
      <c r="AD222" s="7">
        <f>IF(COUNTA(A222:Q222,S222:V222,AC222)=0,"",IF(OR(A222="",B222="",C222="",NOT(ISNUMBER(G222))),"식별값 확인",IF(COUNTIFS(A$2:A$301,A222,B$2:B$301,B222,C$2:C$301,C222,G$2:G$301,G222)&gt;1,"중복 회차",IF(AND(ISNUMBER(K222),K222&gt;G222),"기일 후 예측",IF(AND(T222="낙찰",W222=""),"평가 입력 확인","")))))</f>
        <v/>
      </c>
    </row>
    <row r="223">
      <c r="A223" s="3" t="n"/>
      <c r="B223" s="3" t="n"/>
      <c r="C223" s="3" t="n"/>
      <c r="D223" s="3" t="n"/>
      <c r="E223" s="3" t="n"/>
      <c r="F223" s="3" t="n"/>
      <c r="G223" s="9" t="n"/>
      <c r="H223" s="10" t="n"/>
      <c r="I223" s="10" t="n"/>
      <c r="J223" s="3" t="n"/>
      <c r="K223" s="9" t="n"/>
      <c r="L223" s="10" t="n"/>
      <c r="M223" s="10" t="n"/>
      <c r="N223" s="3" t="n"/>
      <c r="O223" s="10" t="n"/>
      <c r="P223" s="10" t="n"/>
      <c r="Q223" s="10" t="n"/>
      <c r="R223" s="6">
        <f>IF(COUNT(O223:Q223)=3,O223-P223-Q223,"")</f>
        <v/>
      </c>
      <c r="S223" s="3" t="n"/>
      <c r="T223" s="3" t="n"/>
      <c r="U223" s="10" t="n"/>
      <c r="V223" s="3" t="n"/>
      <c r="W223" s="7">
        <f>IF(AND(A223&lt;&gt;"",B223&lt;&gt;"",C223&lt;&gt;"",ISNUMBER(G223),ISNUMBER(K223),K223&lt;=G223,K223&gt;0,T223="낙찰",ISNUMBER(L223),L223&gt;0,ISNUMBER(U223),U223&gt;0,COUNTIFS(A$2:A$301,A223,B$2:B$301,B223,C$2:C$301,C223,G$2:G$301,G223)=1),"평가 가능","")</f>
        <v/>
      </c>
      <c r="X223" s="8">
        <f>IF(W223="평가 가능",(L223-U223)/U223,"")</f>
        <v/>
      </c>
      <c r="Y223" s="8">
        <f>IF(W223="평가 가능",ABS(X223),"")</f>
        <v/>
      </c>
      <c r="Z223" s="7">
        <f>IF(AND(ISNUMBER(M223),M223&gt;0,ISNUMBER(I223)),IF(M223&lt;I223,"최저가 미달",IF(M223=I223,"최저가 동액","최저가 초과")),"")</f>
        <v/>
      </c>
      <c r="AA223" s="7">
        <f>IF(AND(T223="낙찰",ISNUMBER(M223),M223&gt;0,ISNUMBER(U223)),IF(M223&lt;U223,"실제 낙찰가 미만",IF(M223=U223,"실제 낙찰가 동액","실제 낙찰가 초과")),"")</f>
        <v/>
      </c>
      <c r="AB223" s="7">
        <f>IF(AND(ISNUMBER(M223),M223&gt;0,ISNUMBER(R223)),IF(M223&lt;R223,"상한가 미만",IF(M223=R223,"상한가 동액","상한가 초과")),"")</f>
        <v/>
      </c>
      <c r="AC223" s="3" t="n"/>
      <c r="AD223" s="7">
        <f>IF(COUNTA(A223:Q223,S223:V223,AC223)=0,"",IF(OR(A223="",B223="",C223="",NOT(ISNUMBER(G223))),"식별값 확인",IF(COUNTIFS(A$2:A$301,A223,B$2:B$301,B223,C$2:C$301,C223,G$2:G$301,G223)&gt;1,"중복 회차",IF(AND(ISNUMBER(K223),K223&gt;G223),"기일 후 예측",IF(AND(T223="낙찰",W223=""),"평가 입력 확인","")))))</f>
        <v/>
      </c>
    </row>
    <row r="224">
      <c r="A224" s="2" t="n"/>
      <c r="B224" s="2" t="n"/>
      <c r="C224" s="2" t="n"/>
      <c r="D224" s="2" t="n"/>
      <c r="E224" s="2" t="n"/>
      <c r="F224" s="2" t="n"/>
      <c r="G224" s="4" t="n"/>
      <c r="H224" s="5" t="n"/>
      <c r="I224" s="5" t="n"/>
      <c r="J224" s="2" t="n"/>
      <c r="K224" s="4" t="n"/>
      <c r="L224" s="5" t="n"/>
      <c r="M224" s="5" t="n"/>
      <c r="N224" s="2" t="n"/>
      <c r="O224" s="5" t="n"/>
      <c r="P224" s="5" t="n"/>
      <c r="Q224" s="5" t="n"/>
      <c r="R224" s="6">
        <f>IF(COUNT(O224:Q224)=3,O224-P224-Q224,"")</f>
        <v/>
      </c>
      <c r="S224" s="2" t="n"/>
      <c r="T224" s="2" t="n"/>
      <c r="U224" s="5" t="n"/>
      <c r="V224" s="2" t="n"/>
      <c r="W224" s="7">
        <f>IF(AND(A224&lt;&gt;"",B224&lt;&gt;"",C224&lt;&gt;"",ISNUMBER(G224),ISNUMBER(K224),K224&lt;=G224,K224&gt;0,T224="낙찰",ISNUMBER(L224),L224&gt;0,ISNUMBER(U224),U224&gt;0,COUNTIFS(A$2:A$301,A224,B$2:B$301,B224,C$2:C$301,C224,G$2:G$301,G224)=1),"평가 가능","")</f>
        <v/>
      </c>
      <c r="X224" s="8">
        <f>IF(W224="평가 가능",(L224-U224)/U224,"")</f>
        <v/>
      </c>
      <c r="Y224" s="8">
        <f>IF(W224="평가 가능",ABS(X224),"")</f>
        <v/>
      </c>
      <c r="Z224" s="7">
        <f>IF(AND(ISNUMBER(M224),M224&gt;0,ISNUMBER(I224)),IF(M224&lt;I224,"최저가 미달",IF(M224=I224,"최저가 동액","최저가 초과")),"")</f>
        <v/>
      </c>
      <c r="AA224" s="7">
        <f>IF(AND(T224="낙찰",ISNUMBER(M224),M224&gt;0,ISNUMBER(U224)),IF(M224&lt;U224,"실제 낙찰가 미만",IF(M224=U224,"실제 낙찰가 동액","실제 낙찰가 초과")),"")</f>
        <v/>
      </c>
      <c r="AB224" s="7">
        <f>IF(AND(ISNUMBER(M224),M224&gt;0,ISNUMBER(R224)),IF(M224&lt;R224,"상한가 미만",IF(M224=R224,"상한가 동액","상한가 초과")),"")</f>
        <v/>
      </c>
      <c r="AC224" s="2" t="n"/>
      <c r="AD224" s="7">
        <f>IF(COUNTA(A224:Q224,S224:V224,AC224)=0,"",IF(OR(A224="",B224="",C224="",NOT(ISNUMBER(G224))),"식별값 확인",IF(COUNTIFS(A$2:A$301,A224,B$2:B$301,B224,C$2:C$301,C224,G$2:G$301,G224)&gt;1,"중복 회차",IF(AND(ISNUMBER(K224),K224&gt;G224),"기일 후 예측",IF(AND(T224="낙찰",W224=""),"평가 입력 확인","")))))</f>
        <v/>
      </c>
    </row>
    <row r="225">
      <c r="A225" s="3" t="n"/>
      <c r="B225" s="3" t="n"/>
      <c r="C225" s="3" t="n"/>
      <c r="D225" s="3" t="n"/>
      <c r="E225" s="3" t="n"/>
      <c r="F225" s="3" t="n"/>
      <c r="G225" s="9" t="n"/>
      <c r="H225" s="10" t="n"/>
      <c r="I225" s="10" t="n"/>
      <c r="J225" s="3" t="n"/>
      <c r="K225" s="9" t="n"/>
      <c r="L225" s="10" t="n"/>
      <c r="M225" s="10" t="n"/>
      <c r="N225" s="3" t="n"/>
      <c r="O225" s="10" t="n"/>
      <c r="P225" s="10" t="n"/>
      <c r="Q225" s="10" t="n"/>
      <c r="R225" s="6">
        <f>IF(COUNT(O225:Q225)=3,O225-P225-Q225,"")</f>
        <v/>
      </c>
      <c r="S225" s="3" t="n"/>
      <c r="T225" s="3" t="n"/>
      <c r="U225" s="10" t="n"/>
      <c r="V225" s="3" t="n"/>
      <c r="W225" s="7">
        <f>IF(AND(A225&lt;&gt;"",B225&lt;&gt;"",C225&lt;&gt;"",ISNUMBER(G225),ISNUMBER(K225),K225&lt;=G225,K225&gt;0,T225="낙찰",ISNUMBER(L225),L225&gt;0,ISNUMBER(U225),U225&gt;0,COUNTIFS(A$2:A$301,A225,B$2:B$301,B225,C$2:C$301,C225,G$2:G$301,G225)=1),"평가 가능","")</f>
        <v/>
      </c>
      <c r="X225" s="8">
        <f>IF(W225="평가 가능",(L225-U225)/U225,"")</f>
        <v/>
      </c>
      <c r="Y225" s="8">
        <f>IF(W225="평가 가능",ABS(X225),"")</f>
        <v/>
      </c>
      <c r="Z225" s="7">
        <f>IF(AND(ISNUMBER(M225),M225&gt;0,ISNUMBER(I225)),IF(M225&lt;I225,"최저가 미달",IF(M225=I225,"최저가 동액","최저가 초과")),"")</f>
        <v/>
      </c>
      <c r="AA225" s="7">
        <f>IF(AND(T225="낙찰",ISNUMBER(M225),M225&gt;0,ISNUMBER(U225)),IF(M225&lt;U225,"실제 낙찰가 미만",IF(M225=U225,"실제 낙찰가 동액","실제 낙찰가 초과")),"")</f>
        <v/>
      </c>
      <c r="AB225" s="7">
        <f>IF(AND(ISNUMBER(M225),M225&gt;0,ISNUMBER(R225)),IF(M225&lt;R225,"상한가 미만",IF(M225=R225,"상한가 동액","상한가 초과")),"")</f>
        <v/>
      </c>
      <c r="AC225" s="3" t="n"/>
      <c r="AD225" s="7">
        <f>IF(COUNTA(A225:Q225,S225:V225,AC225)=0,"",IF(OR(A225="",B225="",C225="",NOT(ISNUMBER(G225))),"식별값 확인",IF(COUNTIFS(A$2:A$301,A225,B$2:B$301,B225,C$2:C$301,C225,G$2:G$301,G225)&gt;1,"중복 회차",IF(AND(ISNUMBER(K225),K225&gt;G225),"기일 후 예측",IF(AND(T225="낙찰",W225=""),"평가 입력 확인","")))))</f>
        <v/>
      </c>
    </row>
    <row r="226">
      <c r="A226" s="2" t="n"/>
      <c r="B226" s="2" t="n"/>
      <c r="C226" s="2" t="n"/>
      <c r="D226" s="2" t="n"/>
      <c r="E226" s="2" t="n"/>
      <c r="F226" s="2" t="n"/>
      <c r="G226" s="4" t="n"/>
      <c r="H226" s="5" t="n"/>
      <c r="I226" s="5" t="n"/>
      <c r="J226" s="2" t="n"/>
      <c r="K226" s="4" t="n"/>
      <c r="L226" s="5" t="n"/>
      <c r="M226" s="5" t="n"/>
      <c r="N226" s="2" t="n"/>
      <c r="O226" s="5" t="n"/>
      <c r="P226" s="5" t="n"/>
      <c r="Q226" s="5" t="n"/>
      <c r="R226" s="6">
        <f>IF(COUNT(O226:Q226)=3,O226-P226-Q226,"")</f>
        <v/>
      </c>
      <c r="S226" s="2" t="n"/>
      <c r="T226" s="2" t="n"/>
      <c r="U226" s="5" t="n"/>
      <c r="V226" s="2" t="n"/>
      <c r="W226" s="7">
        <f>IF(AND(A226&lt;&gt;"",B226&lt;&gt;"",C226&lt;&gt;"",ISNUMBER(G226),ISNUMBER(K226),K226&lt;=G226,K226&gt;0,T226="낙찰",ISNUMBER(L226),L226&gt;0,ISNUMBER(U226),U226&gt;0,COUNTIFS(A$2:A$301,A226,B$2:B$301,B226,C$2:C$301,C226,G$2:G$301,G226)=1),"평가 가능","")</f>
        <v/>
      </c>
      <c r="X226" s="8">
        <f>IF(W226="평가 가능",(L226-U226)/U226,"")</f>
        <v/>
      </c>
      <c r="Y226" s="8">
        <f>IF(W226="평가 가능",ABS(X226),"")</f>
        <v/>
      </c>
      <c r="Z226" s="7">
        <f>IF(AND(ISNUMBER(M226),M226&gt;0,ISNUMBER(I226)),IF(M226&lt;I226,"최저가 미달",IF(M226=I226,"최저가 동액","최저가 초과")),"")</f>
        <v/>
      </c>
      <c r="AA226" s="7">
        <f>IF(AND(T226="낙찰",ISNUMBER(M226),M226&gt;0,ISNUMBER(U226)),IF(M226&lt;U226,"실제 낙찰가 미만",IF(M226=U226,"실제 낙찰가 동액","실제 낙찰가 초과")),"")</f>
        <v/>
      </c>
      <c r="AB226" s="7">
        <f>IF(AND(ISNUMBER(M226),M226&gt;0,ISNUMBER(R226)),IF(M226&lt;R226,"상한가 미만",IF(M226=R226,"상한가 동액","상한가 초과")),"")</f>
        <v/>
      </c>
      <c r="AC226" s="2" t="n"/>
      <c r="AD226" s="7">
        <f>IF(COUNTA(A226:Q226,S226:V226,AC226)=0,"",IF(OR(A226="",B226="",C226="",NOT(ISNUMBER(G226))),"식별값 확인",IF(COUNTIFS(A$2:A$301,A226,B$2:B$301,B226,C$2:C$301,C226,G$2:G$301,G226)&gt;1,"중복 회차",IF(AND(ISNUMBER(K226),K226&gt;G226),"기일 후 예측",IF(AND(T226="낙찰",W226=""),"평가 입력 확인","")))))</f>
        <v/>
      </c>
    </row>
    <row r="227">
      <c r="A227" s="3" t="n"/>
      <c r="B227" s="3" t="n"/>
      <c r="C227" s="3" t="n"/>
      <c r="D227" s="3" t="n"/>
      <c r="E227" s="3" t="n"/>
      <c r="F227" s="3" t="n"/>
      <c r="G227" s="9" t="n"/>
      <c r="H227" s="10" t="n"/>
      <c r="I227" s="10" t="n"/>
      <c r="J227" s="3" t="n"/>
      <c r="K227" s="9" t="n"/>
      <c r="L227" s="10" t="n"/>
      <c r="M227" s="10" t="n"/>
      <c r="N227" s="3" t="n"/>
      <c r="O227" s="10" t="n"/>
      <c r="P227" s="10" t="n"/>
      <c r="Q227" s="10" t="n"/>
      <c r="R227" s="6">
        <f>IF(COUNT(O227:Q227)=3,O227-P227-Q227,"")</f>
        <v/>
      </c>
      <c r="S227" s="3" t="n"/>
      <c r="T227" s="3" t="n"/>
      <c r="U227" s="10" t="n"/>
      <c r="V227" s="3" t="n"/>
      <c r="W227" s="7">
        <f>IF(AND(A227&lt;&gt;"",B227&lt;&gt;"",C227&lt;&gt;"",ISNUMBER(G227),ISNUMBER(K227),K227&lt;=G227,K227&gt;0,T227="낙찰",ISNUMBER(L227),L227&gt;0,ISNUMBER(U227),U227&gt;0,COUNTIFS(A$2:A$301,A227,B$2:B$301,B227,C$2:C$301,C227,G$2:G$301,G227)=1),"평가 가능","")</f>
        <v/>
      </c>
      <c r="X227" s="8">
        <f>IF(W227="평가 가능",(L227-U227)/U227,"")</f>
        <v/>
      </c>
      <c r="Y227" s="8">
        <f>IF(W227="평가 가능",ABS(X227),"")</f>
        <v/>
      </c>
      <c r="Z227" s="7">
        <f>IF(AND(ISNUMBER(M227),M227&gt;0,ISNUMBER(I227)),IF(M227&lt;I227,"최저가 미달",IF(M227=I227,"최저가 동액","최저가 초과")),"")</f>
        <v/>
      </c>
      <c r="AA227" s="7">
        <f>IF(AND(T227="낙찰",ISNUMBER(M227),M227&gt;0,ISNUMBER(U227)),IF(M227&lt;U227,"실제 낙찰가 미만",IF(M227=U227,"실제 낙찰가 동액","실제 낙찰가 초과")),"")</f>
        <v/>
      </c>
      <c r="AB227" s="7">
        <f>IF(AND(ISNUMBER(M227),M227&gt;0,ISNUMBER(R227)),IF(M227&lt;R227,"상한가 미만",IF(M227=R227,"상한가 동액","상한가 초과")),"")</f>
        <v/>
      </c>
      <c r="AC227" s="3" t="n"/>
      <c r="AD227" s="7">
        <f>IF(COUNTA(A227:Q227,S227:V227,AC227)=0,"",IF(OR(A227="",B227="",C227="",NOT(ISNUMBER(G227))),"식별값 확인",IF(COUNTIFS(A$2:A$301,A227,B$2:B$301,B227,C$2:C$301,C227,G$2:G$301,G227)&gt;1,"중복 회차",IF(AND(ISNUMBER(K227),K227&gt;G227),"기일 후 예측",IF(AND(T227="낙찰",W227=""),"평가 입력 확인","")))))</f>
        <v/>
      </c>
    </row>
    <row r="228">
      <c r="A228" s="2" t="n"/>
      <c r="B228" s="2" t="n"/>
      <c r="C228" s="2" t="n"/>
      <c r="D228" s="2" t="n"/>
      <c r="E228" s="2" t="n"/>
      <c r="F228" s="2" t="n"/>
      <c r="G228" s="4" t="n"/>
      <c r="H228" s="5" t="n"/>
      <c r="I228" s="5" t="n"/>
      <c r="J228" s="2" t="n"/>
      <c r="K228" s="4" t="n"/>
      <c r="L228" s="5" t="n"/>
      <c r="M228" s="5" t="n"/>
      <c r="N228" s="2" t="n"/>
      <c r="O228" s="5" t="n"/>
      <c r="P228" s="5" t="n"/>
      <c r="Q228" s="5" t="n"/>
      <c r="R228" s="6">
        <f>IF(COUNT(O228:Q228)=3,O228-P228-Q228,"")</f>
        <v/>
      </c>
      <c r="S228" s="2" t="n"/>
      <c r="T228" s="2" t="n"/>
      <c r="U228" s="5" t="n"/>
      <c r="V228" s="2" t="n"/>
      <c r="W228" s="7">
        <f>IF(AND(A228&lt;&gt;"",B228&lt;&gt;"",C228&lt;&gt;"",ISNUMBER(G228),ISNUMBER(K228),K228&lt;=G228,K228&gt;0,T228="낙찰",ISNUMBER(L228),L228&gt;0,ISNUMBER(U228),U228&gt;0,COUNTIFS(A$2:A$301,A228,B$2:B$301,B228,C$2:C$301,C228,G$2:G$301,G228)=1),"평가 가능","")</f>
        <v/>
      </c>
      <c r="X228" s="8">
        <f>IF(W228="평가 가능",(L228-U228)/U228,"")</f>
        <v/>
      </c>
      <c r="Y228" s="8">
        <f>IF(W228="평가 가능",ABS(X228),"")</f>
        <v/>
      </c>
      <c r="Z228" s="7">
        <f>IF(AND(ISNUMBER(M228),M228&gt;0,ISNUMBER(I228)),IF(M228&lt;I228,"최저가 미달",IF(M228=I228,"최저가 동액","최저가 초과")),"")</f>
        <v/>
      </c>
      <c r="AA228" s="7">
        <f>IF(AND(T228="낙찰",ISNUMBER(M228),M228&gt;0,ISNUMBER(U228)),IF(M228&lt;U228,"실제 낙찰가 미만",IF(M228=U228,"실제 낙찰가 동액","실제 낙찰가 초과")),"")</f>
        <v/>
      </c>
      <c r="AB228" s="7">
        <f>IF(AND(ISNUMBER(M228),M228&gt;0,ISNUMBER(R228)),IF(M228&lt;R228,"상한가 미만",IF(M228=R228,"상한가 동액","상한가 초과")),"")</f>
        <v/>
      </c>
      <c r="AC228" s="2" t="n"/>
      <c r="AD228" s="7">
        <f>IF(COUNTA(A228:Q228,S228:V228,AC228)=0,"",IF(OR(A228="",B228="",C228="",NOT(ISNUMBER(G228))),"식별값 확인",IF(COUNTIFS(A$2:A$301,A228,B$2:B$301,B228,C$2:C$301,C228,G$2:G$301,G228)&gt;1,"중복 회차",IF(AND(ISNUMBER(K228),K228&gt;G228),"기일 후 예측",IF(AND(T228="낙찰",W228=""),"평가 입력 확인","")))))</f>
        <v/>
      </c>
    </row>
    <row r="229">
      <c r="A229" s="3" t="n"/>
      <c r="B229" s="3" t="n"/>
      <c r="C229" s="3" t="n"/>
      <c r="D229" s="3" t="n"/>
      <c r="E229" s="3" t="n"/>
      <c r="F229" s="3" t="n"/>
      <c r="G229" s="9" t="n"/>
      <c r="H229" s="10" t="n"/>
      <c r="I229" s="10" t="n"/>
      <c r="J229" s="3" t="n"/>
      <c r="K229" s="9" t="n"/>
      <c r="L229" s="10" t="n"/>
      <c r="M229" s="10" t="n"/>
      <c r="N229" s="3" t="n"/>
      <c r="O229" s="10" t="n"/>
      <c r="P229" s="10" t="n"/>
      <c r="Q229" s="10" t="n"/>
      <c r="R229" s="6">
        <f>IF(COUNT(O229:Q229)=3,O229-P229-Q229,"")</f>
        <v/>
      </c>
      <c r="S229" s="3" t="n"/>
      <c r="T229" s="3" t="n"/>
      <c r="U229" s="10" t="n"/>
      <c r="V229" s="3" t="n"/>
      <c r="W229" s="7">
        <f>IF(AND(A229&lt;&gt;"",B229&lt;&gt;"",C229&lt;&gt;"",ISNUMBER(G229),ISNUMBER(K229),K229&lt;=G229,K229&gt;0,T229="낙찰",ISNUMBER(L229),L229&gt;0,ISNUMBER(U229),U229&gt;0,COUNTIFS(A$2:A$301,A229,B$2:B$301,B229,C$2:C$301,C229,G$2:G$301,G229)=1),"평가 가능","")</f>
        <v/>
      </c>
      <c r="X229" s="8">
        <f>IF(W229="평가 가능",(L229-U229)/U229,"")</f>
        <v/>
      </c>
      <c r="Y229" s="8">
        <f>IF(W229="평가 가능",ABS(X229),"")</f>
        <v/>
      </c>
      <c r="Z229" s="7">
        <f>IF(AND(ISNUMBER(M229),M229&gt;0,ISNUMBER(I229)),IF(M229&lt;I229,"최저가 미달",IF(M229=I229,"최저가 동액","최저가 초과")),"")</f>
        <v/>
      </c>
      <c r="AA229" s="7">
        <f>IF(AND(T229="낙찰",ISNUMBER(M229),M229&gt;0,ISNUMBER(U229)),IF(M229&lt;U229,"실제 낙찰가 미만",IF(M229=U229,"실제 낙찰가 동액","실제 낙찰가 초과")),"")</f>
        <v/>
      </c>
      <c r="AB229" s="7">
        <f>IF(AND(ISNUMBER(M229),M229&gt;0,ISNUMBER(R229)),IF(M229&lt;R229,"상한가 미만",IF(M229=R229,"상한가 동액","상한가 초과")),"")</f>
        <v/>
      </c>
      <c r="AC229" s="3" t="n"/>
      <c r="AD229" s="7">
        <f>IF(COUNTA(A229:Q229,S229:V229,AC229)=0,"",IF(OR(A229="",B229="",C229="",NOT(ISNUMBER(G229))),"식별값 확인",IF(COUNTIFS(A$2:A$301,A229,B$2:B$301,B229,C$2:C$301,C229,G$2:G$301,G229)&gt;1,"중복 회차",IF(AND(ISNUMBER(K229),K229&gt;G229),"기일 후 예측",IF(AND(T229="낙찰",W229=""),"평가 입력 확인","")))))</f>
        <v/>
      </c>
    </row>
    <row r="230">
      <c r="A230" s="2" t="n"/>
      <c r="B230" s="2" t="n"/>
      <c r="C230" s="2" t="n"/>
      <c r="D230" s="2" t="n"/>
      <c r="E230" s="2" t="n"/>
      <c r="F230" s="2" t="n"/>
      <c r="G230" s="4" t="n"/>
      <c r="H230" s="5" t="n"/>
      <c r="I230" s="5" t="n"/>
      <c r="J230" s="2" t="n"/>
      <c r="K230" s="4" t="n"/>
      <c r="L230" s="5" t="n"/>
      <c r="M230" s="5" t="n"/>
      <c r="N230" s="2" t="n"/>
      <c r="O230" s="5" t="n"/>
      <c r="P230" s="5" t="n"/>
      <c r="Q230" s="5" t="n"/>
      <c r="R230" s="6">
        <f>IF(COUNT(O230:Q230)=3,O230-P230-Q230,"")</f>
        <v/>
      </c>
      <c r="S230" s="2" t="n"/>
      <c r="T230" s="2" t="n"/>
      <c r="U230" s="5" t="n"/>
      <c r="V230" s="2" t="n"/>
      <c r="W230" s="7">
        <f>IF(AND(A230&lt;&gt;"",B230&lt;&gt;"",C230&lt;&gt;"",ISNUMBER(G230),ISNUMBER(K230),K230&lt;=G230,K230&gt;0,T230="낙찰",ISNUMBER(L230),L230&gt;0,ISNUMBER(U230),U230&gt;0,COUNTIFS(A$2:A$301,A230,B$2:B$301,B230,C$2:C$301,C230,G$2:G$301,G230)=1),"평가 가능","")</f>
        <v/>
      </c>
      <c r="X230" s="8">
        <f>IF(W230="평가 가능",(L230-U230)/U230,"")</f>
        <v/>
      </c>
      <c r="Y230" s="8">
        <f>IF(W230="평가 가능",ABS(X230),"")</f>
        <v/>
      </c>
      <c r="Z230" s="7">
        <f>IF(AND(ISNUMBER(M230),M230&gt;0,ISNUMBER(I230)),IF(M230&lt;I230,"최저가 미달",IF(M230=I230,"최저가 동액","최저가 초과")),"")</f>
        <v/>
      </c>
      <c r="AA230" s="7">
        <f>IF(AND(T230="낙찰",ISNUMBER(M230),M230&gt;0,ISNUMBER(U230)),IF(M230&lt;U230,"실제 낙찰가 미만",IF(M230=U230,"실제 낙찰가 동액","실제 낙찰가 초과")),"")</f>
        <v/>
      </c>
      <c r="AB230" s="7">
        <f>IF(AND(ISNUMBER(M230),M230&gt;0,ISNUMBER(R230)),IF(M230&lt;R230,"상한가 미만",IF(M230=R230,"상한가 동액","상한가 초과")),"")</f>
        <v/>
      </c>
      <c r="AC230" s="2" t="n"/>
      <c r="AD230" s="7">
        <f>IF(COUNTA(A230:Q230,S230:V230,AC230)=0,"",IF(OR(A230="",B230="",C230="",NOT(ISNUMBER(G230))),"식별값 확인",IF(COUNTIFS(A$2:A$301,A230,B$2:B$301,B230,C$2:C$301,C230,G$2:G$301,G230)&gt;1,"중복 회차",IF(AND(ISNUMBER(K230),K230&gt;G230),"기일 후 예측",IF(AND(T230="낙찰",W230=""),"평가 입력 확인","")))))</f>
        <v/>
      </c>
    </row>
    <row r="231">
      <c r="A231" s="3" t="n"/>
      <c r="B231" s="3" t="n"/>
      <c r="C231" s="3" t="n"/>
      <c r="D231" s="3" t="n"/>
      <c r="E231" s="3" t="n"/>
      <c r="F231" s="3" t="n"/>
      <c r="G231" s="9" t="n"/>
      <c r="H231" s="10" t="n"/>
      <c r="I231" s="10" t="n"/>
      <c r="J231" s="3" t="n"/>
      <c r="K231" s="9" t="n"/>
      <c r="L231" s="10" t="n"/>
      <c r="M231" s="10" t="n"/>
      <c r="N231" s="3" t="n"/>
      <c r="O231" s="10" t="n"/>
      <c r="P231" s="10" t="n"/>
      <c r="Q231" s="10" t="n"/>
      <c r="R231" s="6">
        <f>IF(COUNT(O231:Q231)=3,O231-P231-Q231,"")</f>
        <v/>
      </c>
      <c r="S231" s="3" t="n"/>
      <c r="T231" s="3" t="n"/>
      <c r="U231" s="10" t="n"/>
      <c r="V231" s="3" t="n"/>
      <c r="W231" s="7">
        <f>IF(AND(A231&lt;&gt;"",B231&lt;&gt;"",C231&lt;&gt;"",ISNUMBER(G231),ISNUMBER(K231),K231&lt;=G231,K231&gt;0,T231="낙찰",ISNUMBER(L231),L231&gt;0,ISNUMBER(U231),U231&gt;0,COUNTIFS(A$2:A$301,A231,B$2:B$301,B231,C$2:C$301,C231,G$2:G$301,G231)=1),"평가 가능","")</f>
        <v/>
      </c>
      <c r="X231" s="8">
        <f>IF(W231="평가 가능",(L231-U231)/U231,"")</f>
        <v/>
      </c>
      <c r="Y231" s="8">
        <f>IF(W231="평가 가능",ABS(X231),"")</f>
        <v/>
      </c>
      <c r="Z231" s="7">
        <f>IF(AND(ISNUMBER(M231),M231&gt;0,ISNUMBER(I231)),IF(M231&lt;I231,"최저가 미달",IF(M231=I231,"최저가 동액","최저가 초과")),"")</f>
        <v/>
      </c>
      <c r="AA231" s="7">
        <f>IF(AND(T231="낙찰",ISNUMBER(M231),M231&gt;0,ISNUMBER(U231)),IF(M231&lt;U231,"실제 낙찰가 미만",IF(M231=U231,"실제 낙찰가 동액","실제 낙찰가 초과")),"")</f>
        <v/>
      </c>
      <c r="AB231" s="7">
        <f>IF(AND(ISNUMBER(M231),M231&gt;0,ISNUMBER(R231)),IF(M231&lt;R231,"상한가 미만",IF(M231=R231,"상한가 동액","상한가 초과")),"")</f>
        <v/>
      </c>
      <c r="AC231" s="3" t="n"/>
      <c r="AD231" s="7">
        <f>IF(COUNTA(A231:Q231,S231:V231,AC231)=0,"",IF(OR(A231="",B231="",C231="",NOT(ISNUMBER(G231))),"식별값 확인",IF(COUNTIFS(A$2:A$301,A231,B$2:B$301,B231,C$2:C$301,C231,G$2:G$301,G231)&gt;1,"중복 회차",IF(AND(ISNUMBER(K231),K231&gt;G231),"기일 후 예측",IF(AND(T231="낙찰",W231=""),"평가 입력 확인","")))))</f>
        <v/>
      </c>
    </row>
    <row r="232">
      <c r="A232" s="2" t="n"/>
      <c r="B232" s="2" t="n"/>
      <c r="C232" s="2" t="n"/>
      <c r="D232" s="2" t="n"/>
      <c r="E232" s="2" t="n"/>
      <c r="F232" s="2" t="n"/>
      <c r="G232" s="4" t="n"/>
      <c r="H232" s="5" t="n"/>
      <c r="I232" s="5" t="n"/>
      <c r="J232" s="2" t="n"/>
      <c r="K232" s="4" t="n"/>
      <c r="L232" s="5" t="n"/>
      <c r="M232" s="5" t="n"/>
      <c r="N232" s="2" t="n"/>
      <c r="O232" s="5" t="n"/>
      <c r="P232" s="5" t="n"/>
      <c r="Q232" s="5" t="n"/>
      <c r="R232" s="6">
        <f>IF(COUNT(O232:Q232)=3,O232-P232-Q232,"")</f>
        <v/>
      </c>
      <c r="S232" s="2" t="n"/>
      <c r="T232" s="2" t="n"/>
      <c r="U232" s="5" t="n"/>
      <c r="V232" s="2" t="n"/>
      <c r="W232" s="7">
        <f>IF(AND(A232&lt;&gt;"",B232&lt;&gt;"",C232&lt;&gt;"",ISNUMBER(G232),ISNUMBER(K232),K232&lt;=G232,K232&gt;0,T232="낙찰",ISNUMBER(L232),L232&gt;0,ISNUMBER(U232),U232&gt;0,COUNTIFS(A$2:A$301,A232,B$2:B$301,B232,C$2:C$301,C232,G$2:G$301,G232)=1),"평가 가능","")</f>
        <v/>
      </c>
      <c r="X232" s="8">
        <f>IF(W232="평가 가능",(L232-U232)/U232,"")</f>
        <v/>
      </c>
      <c r="Y232" s="8">
        <f>IF(W232="평가 가능",ABS(X232),"")</f>
        <v/>
      </c>
      <c r="Z232" s="7">
        <f>IF(AND(ISNUMBER(M232),M232&gt;0,ISNUMBER(I232)),IF(M232&lt;I232,"최저가 미달",IF(M232=I232,"최저가 동액","최저가 초과")),"")</f>
        <v/>
      </c>
      <c r="AA232" s="7">
        <f>IF(AND(T232="낙찰",ISNUMBER(M232),M232&gt;0,ISNUMBER(U232)),IF(M232&lt;U232,"실제 낙찰가 미만",IF(M232=U232,"실제 낙찰가 동액","실제 낙찰가 초과")),"")</f>
        <v/>
      </c>
      <c r="AB232" s="7">
        <f>IF(AND(ISNUMBER(M232),M232&gt;0,ISNUMBER(R232)),IF(M232&lt;R232,"상한가 미만",IF(M232=R232,"상한가 동액","상한가 초과")),"")</f>
        <v/>
      </c>
      <c r="AC232" s="2" t="n"/>
      <c r="AD232" s="7">
        <f>IF(COUNTA(A232:Q232,S232:V232,AC232)=0,"",IF(OR(A232="",B232="",C232="",NOT(ISNUMBER(G232))),"식별값 확인",IF(COUNTIFS(A$2:A$301,A232,B$2:B$301,B232,C$2:C$301,C232,G$2:G$301,G232)&gt;1,"중복 회차",IF(AND(ISNUMBER(K232),K232&gt;G232),"기일 후 예측",IF(AND(T232="낙찰",W232=""),"평가 입력 확인","")))))</f>
        <v/>
      </c>
    </row>
    <row r="233">
      <c r="A233" s="3" t="n"/>
      <c r="B233" s="3" t="n"/>
      <c r="C233" s="3" t="n"/>
      <c r="D233" s="3" t="n"/>
      <c r="E233" s="3" t="n"/>
      <c r="F233" s="3" t="n"/>
      <c r="G233" s="9" t="n"/>
      <c r="H233" s="10" t="n"/>
      <c r="I233" s="10" t="n"/>
      <c r="J233" s="3" t="n"/>
      <c r="K233" s="9" t="n"/>
      <c r="L233" s="10" t="n"/>
      <c r="M233" s="10" t="n"/>
      <c r="N233" s="3" t="n"/>
      <c r="O233" s="10" t="n"/>
      <c r="P233" s="10" t="n"/>
      <c r="Q233" s="10" t="n"/>
      <c r="R233" s="6">
        <f>IF(COUNT(O233:Q233)=3,O233-P233-Q233,"")</f>
        <v/>
      </c>
      <c r="S233" s="3" t="n"/>
      <c r="T233" s="3" t="n"/>
      <c r="U233" s="10" t="n"/>
      <c r="V233" s="3" t="n"/>
      <c r="W233" s="7">
        <f>IF(AND(A233&lt;&gt;"",B233&lt;&gt;"",C233&lt;&gt;"",ISNUMBER(G233),ISNUMBER(K233),K233&lt;=G233,K233&gt;0,T233="낙찰",ISNUMBER(L233),L233&gt;0,ISNUMBER(U233),U233&gt;0,COUNTIFS(A$2:A$301,A233,B$2:B$301,B233,C$2:C$301,C233,G$2:G$301,G233)=1),"평가 가능","")</f>
        <v/>
      </c>
      <c r="X233" s="8">
        <f>IF(W233="평가 가능",(L233-U233)/U233,"")</f>
        <v/>
      </c>
      <c r="Y233" s="8">
        <f>IF(W233="평가 가능",ABS(X233),"")</f>
        <v/>
      </c>
      <c r="Z233" s="7">
        <f>IF(AND(ISNUMBER(M233),M233&gt;0,ISNUMBER(I233)),IF(M233&lt;I233,"최저가 미달",IF(M233=I233,"최저가 동액","최저가 초과")),"")</f>
        <v/>
      </c>
      <c r="AA233" s="7">
        <f>IF(AND(T233="낙찰",ISNUMBER(M233),M233&gt;0,ISNUMBER(U233)),IF(M233&lt;U233,"실제 낙찰가 미만",IF(M233=U233,"실제 낙찰가 동액","실제 낙찰가 초과")),"")</f>
        <v/>
      </c>
      <c r="AB233" s="7">
        <f>IF(AND(ISNUMBER(M233),M233&gt;0,ISNUMBER(R233)),IF(M233&lt;R233,"상한가 미만",IF(M233=R233,"상한가 동액","상한가 초과")),"")</f>
        <v/>
      </c>
      <c r="AC233" s="3" t="n"/>
      <c r="AD233" s="7">
        <f>IF(COUNTA(A233:Q233,S233:V233,AC233)=0,"",IF(OR(A233="",B233="",C233="",NOT(ISNUMBER(G233))),"식별값 확인",IF(COUNTIFS(A$2:A$301,A233,B$2:B$301,B233,C$2:C$301,C233,G$2:G$301,G233)&gt;1,"중복 회차",IF(AND(ISNUMBER(K233),K233&gt;G233),"기일 후 예측",IF(AND(T233="낙찰",W233=""),"평가 입력 확인","")))))</f>
        <v/>
      </c>
    </row>
    <row r="234">
      <c r="A234" s="2" t="n"/>
      <c r="B234" s="2" t="n"/>
      <c r="C234" s="2" t="n"/>
      <c r="D234" s="2" t="n"/>
      <c r="E234" s="2" t="n"/>
      <c r="F234" s="2" t="n"/>
      <c r="G234" s="4" t="n"/>
      <c r="H234" s="5" t="n"/>
      <c r="I234" s="5" t="n"/>
      <c r="J234" s="2" t="n"/>
      <c r="K234" s="4" t="n"/>
      <c r="L234" s="5" t="n"/>
      <c r="M234" s="5" t="n"/>
      <c r="N234" s="2" t="n"/>
      <c r="O234" s="5" t="n"/>
      <c r="P234" s="5" t="n"/>
      <c r="Q234" s="5" t="n"/>
      <c r="R234" s="6">
        <f>IF(COUNT(O234:Q234)=3,O234-P234-Q234,"")</f>
        <v/>
      </c>
      <c r="S234" s="2" t="n"/>
      <c r="T234" s="2" t="n"/>
      <c r="U234" s="5" t="n"/>
      <c r="V234" s="2" t="n"/>
      <c r="W234" s="7">
        <f>IF(AND(A234&lt;&gt;"",B234&lt;&gt;"",C234&lt;&gt;"",ISNUMBER(G234),ISNUMBER(K234),K234&lt;=G234,K234&gt;0,T234="낙찰",ISNUMBER(L234),L234&gt;0,ISNUMBER(U234),U234&gt;0,COUNTIFS(A$2:A$301,A234,B$2:B$301,B234,C$2:C$301,C234,G$2:G$301,G234)=1),"평가 가능","")</f>
        <v/>
      </c>
      <c r="X234" s="8">
        <f>IF(W234="평가 가능",(L234-U234)/U234,"")</f>
        <v/>
      </c>
      <c r="Y234" s="8">
        <f>IF(W234="평가 가능",ABS(X234),"")</f>
        <v/>
      </c>
      <c r="Z234" s="7">
        <f>IF(AND(ISNUMBER(M234),M234&gt;0,ISNUMBER(I234)),IF(M234&lt;I234,"최저가 미달",IF(M234=I234,"최저가 동액","최저가 초과")),"")</f>
        <v/>
      </c>
      <c r="AA234" s="7">
        <f>IF(AND(T234="낙찰",ISNUMBER(M234),M234&gt;0,ISNUMBER(U234)),IF(M234&lt;U234,"실제 낙찰가 미만",IF(M234=U234,"실제 낙찰가 동액","실제 낙찰가 초과")),"")</f>
        <v/>
      </c>
      <c r="AB234" s="7">
        <f>IF(AND(ISNUMBER(M234),M234&gt;0,ISNUMBER(R234)),IF(M234&lt;R234,"상한가 미만",IF(M234=R234,"상한가 동액","상한가 초과")),"")</f>
        <v/>
      </c>
      <c r="AC234" s="2" t="n"/>
      <c r="AD234" s="7">
        <f>IF(COUNTA(A234:Q234,S234:V234,AC234)=0,"",IF(OR(A234="",B234="",C234="",NOT(ISNUMBER(G234))),"식별값 확인",IF(COUNTIFS(A$2:A$301,A234,B$2:B$301,B234,C$2:C$301,C234,G$2:G$301,G234)&gt;1,"중복 회차",IF(AND(ISNUMBER(K234),K234&gt;G234),"기일 후 예측",IF(AND(T234="낙찰",W234=""),"평가 입력 확인","")))))</f>
        <v/>
      </c>
    </row>
    <row r="235">
      <c r="A235" s="3" t="n"/>
      <c r="B235" s="3" t="n"/>
      <c r="C235" s="3" t="n"/>
      <c r="D235" s="3" t="n"/>
      <c r="E235" s="3" t="n"/>
      <c r="F235" s="3" t="n"/>
      <c r="G235" s="9" t="n"/>
      <c r="H235" s="10" t="n"/>
      <c r="I235" s="10" t="n"/>
      <c r="J235" s="3" t="n"/>
      <c r="K235" s="9" t="n"/>
      <c r="L235" s="10" t="n"/>
      <c r="M235" s="10" t="n"/>
      <c r="N235" s="3" t="n"/>
      <c r="O235" s="10" t="n"/>
      <c r="P235" s="10" t="n"/>
      <c r="Q235" s="10" t="n"/>
      <c r="R235" s="6">
        <f>IF(COUNT(O235:Q235)=3,O235-P235-Q235,"")</f>
        <v/>
      </c>
      <c r="S235" s="3" t="n"/>
      <c r="T235" s="3" t="n"/>
      <c r="U235" s="10" t="n"/>
      <c r="V235" s="3" t="n"/>
      <c r="W235" s="7">
        <f>IF(AND(A235&lt;&gt;"",B235&lt;&gt;"",C235&lt;&gt;"",ISNUMBER(G235),ISNUMBER(K235),K235&lt;=G235,K235&gt;0,T235="낙찰",ISNUMBER(L235),L235&gt;0,ISNUMBER(U235),U235&gt;0,COUNTIFS(A$2:A$301,A235,B$2:B$301,B235,C$2:C$301,C235,G$2:G$301,G235)=1),"평가 가능","")</f>
        <v/>
      </c>
      <c r="X235" s="8">
        <f>IF(W235="평가 가능",(L235-U235)/U235,"")</f>
        <v/>
      </c>
      <c r="Y235" s="8">
        <f>IF(W235="평가 가능",ABS(X235),"")</f>
        <v/>
      </c>
      <c r="Z235" s="7">
        <f>IF(AND(ISNUMBER(M235),M235&gt;0,ISNUMBER(I235)),IF(M235&lt;I235,"최저가 미달",IF(M235=I235,"최저가 동액","최저가 초과")),"")</f>
        <v/>
      </c>
      <c r="AA235" s="7">
        <f>IF(AND(T235="낙찰",ISNUMBER(M235),M235&gt;0,ISNUMBER(U235)),IF(M235&lt;U235,"실제 낙찰가 미만",IF(M235=U235,"실제 낙찰가 동액","실제 낙찰가 초과")),"")</f>
        <v/>
      </c>
      <c r="AB235" s="7">
        <f>IF(AND(ISNUMBER(M235),M235&gt;0,ISNUMBER(R235)),IF(M235&lt;R235,"상한가 미만",IF(M235=R235,"상한가 동액","상한가 초과")),"")</f>
        <v/>
      </c>
      <c r="AC235" s="3" t="n"/>
      <c r="AD235" s="7">
        <f>IF(COUNTA(A235:Q235,S235:V235,AC235)=0,"",IF(OR(A235="",B235="",C235="",NOT(ISNUMBER(G235))),"식별값 확인",IF(COUNTIFS(A$2:A$301,A235,B$2:B$301,B235,C$2:C$301,C235,G$2:G$301,G235)&gt;1,"중복 회차",IF(AND(ISNUMBER(K235),K235&gt;G235),"기일 후 예측",IF(AND(T235="낙찰",W235=""),"평가 입력 확인","")))))</f>
        <v/>
      </c>
    </row>
    <row r="236">
      <c r="A236" s="2" t="n"/>
      <c r="B236" s="2" t="n"/>
      <c r="C236" s="2" t="n"/>
      <c r="D236" s="2" t="n"/>
      <c r="E236" s="2" t="n"/>
      <c r="F236" s="2" t="n"/>
      <c r="G236" s="4" t="n"/>
      <c r="H236" s="5" t="n"/>
      <c r="I236" s="5" t="n"/>
      <c r="J236" s="2" t="n"/>
      <c r="K236" s="4" t="n"/>
      <c r="L236" s="5" t="n"/>
      <c r="M236" s="5" t="n"/>
      <c r="N236" s="2" t="n"/>
      <c r="O236" s="5" t="n"/>
      <c r="P236" s="5" t="n"/>
      <c r="Q236" s="5" t="n"/>
      <c r="R236" s="6">
        <f>IF(COUNT(O236:Q236)=3,O236-P236-Q236,"")</f>
        <v/>
      </c>
      <c r="S236" s="2" t="n"/>
      <c r="T236" s="2" t="n"/>
      <c r="U236" s="5" t="n"/>
      <c r="V236" s="2" t="n"/>
      <c r="W236" s="7">
        <f>IF(AND(A236&lt;&gt;"",B236&lt;&gt;"",C236&lt;&gt;"",ISNUMBER(G236),ISNUMBER(K236),K236&lt;=G236,K236&gt;0,T236="낙찰",ISNUMBER(L236),L236&gt;0,ISNUMBER(U236),U236&gt;0,COUNTIFS(A$2:A$301,A236,B$2:B$301,B236,C$2:C$301,C236,G$2:G$301,G236)=1),"평가 가능","")</f>
        <v/>
      </c>
      <c r="X236" s="8">
        <f>IF(W236="평가 가능",(L236-U236)/U236,"")</f>
        <v/>
      </c>
      <c r="Y236" s="8">
        <f>IF(W236="평가 가능",ABS(X236),"")</f>
        <v/>
      </c>
      <c r="Z236" s="7">
        <f>IF(AND(ISNUMBER(M236),M236&gt;0,ISNUMBER(I236)),IF(M236&lt;I236,"최저가 미달",IF(M236=I236,"최저가 동액","최저가 초과")),"")</f>
        <v/>
      </c>
      <c r="AA236" s="7">
        <f>IF(AND(T236="낙찰",ISNUMBER(M236),M236&gt;0,ISNUMBER(U236)),IF(M236&lt;U236,"실제 낙찰가 미만",IF(M236=U236,"실제 낙찰가 동액","실제 낙찰가 초과")),"")</f>
        <v/>
      </c>
      <c r="AB236" s="7">
        <f>IF(AND(ISNUMBER(M236),M236&gt;0,ISNUMBER(R236)),IF(M236&lt;R236,"상한가 미만",IF(M236=R236,"상한가 동액","상한가 초과")),"")</f>
        <v/>
      </c>
      <c r="AC236" s="2" t="n"/>
      <c r="AD236" s="7">
        <f>IF(COUNTA(A236:Q236,S236:V236,AC236)=0,"",IF(OR(A236="",B236="",C236="",NOT(ISNUMBER(G236))),"식별값 확인",IF(COUNTIFS(A$2:A$301,A236,B$2:B$301,B236,C$2:C$301,C236,G$2:G$301,G236)&gt;1,"중복 회차",IF(AND(ISNUMBER(K236),K236&gt;G236),"기일 후 예측",IF(AND(T236="낙찰",W236=""),"평가 입력 확인","")))))</f>
        <v/>
      </c>
    </row>
    <row r="237">
      <c r="A237" s="3" t="n"/>
      <c r="B237" s="3" t="n"/>
      <c r="C237" s="3" t="n"/>
      <c r="D237" s="3" t="n"/>
      <c r="E237" s="3" t="n"/>
      <c r="F237" s="3" t="n"/>
      <c r="G237" s="9" t="n"/>
      <c r="H237" s="10" t="n"/>
      <c r="I237" s="10" t="n"/>
      <c r="J237" s="3" t="n"/>
      <c r="K237" s="9" t="n"/>
      <c r="L237" s="10" t="n"/>
      <c r="M237" s="10" t="n"/>
      <c r="N237" s="3" t="n"/>
      <c r="O237" s="10" t="n"/>
      <c r="P237" s="10" t="n"/>
      <c r="Q237" s="10" t="n"/>
      <c r="R237" s="6">
        <f>IF(COUNT(O237:Q237)=3,O237-P237-Q237,"")</f>
        <v/>
      </c>
      <c r="S237" s="3" t="n"/>
      <c r="T237" s="3" t="n"/>
      <c r="U237" s="10" t="n"/>
      <c r="V237" s="3" t="n"/>
      <c r="W237" s="7">
        <f>IF(AND(A237&lt;&gt;"",B237&lt;&gt;"",C237&lt;&gt;"",ISNUMBER(G237),ISNUMBER(K237),K237&lt;=G237,K237&gt;0,T237="낙찰",ISNUMBER(L237),L237&gt;0,ISNUMBER(U237),U237&gt;0,COUNTIFS(A$2:A$301,A237,B$2:B$301,B237,C$2:C$301,C237,G$2:G$301,G237)=1),"평가 가능","")</f>
        <v/>
      </c>
      <c r="X237" s="8">
        <f>IF(W237="평가 가능",(L237-U237)/U237,"")</f>
        <v/>
      </c>
      <c r="Y237" s="8">
        <f>IF(W237="평가 가능",ABS(X237),"")</f>
        <v/>
      </c>
      <c r="Z237" s="7">
        <f>IF(AND(ISNUMBER(M237),M237&gt;0,ISNUMBER(I237)),IF(M237&lt;I237,"최저가 미달",IF(M237=I237,"최저가 동액","최저가 초과")),"")</f>
        <v/>
      </c>
      <c r="AA237" s="7">
        <f>IF(AND(T237="낙찰",ISNUMBER(M237),M237&gt;0,ISNUMBER(U237)),IF(M237&lt;U237,"실제 낙찰가 미만",IF(M237=U237,"실제 낙찰가 동액","실제 낙찰가 초과")),"")</f>
        <v/>
      </c>
      <c r="AB237" s="7">
        <f>IF(AND(ISNUMBER(M237),M237&gt;0,ISNUMBER(R237)),IF(M237&lt;R237,"상한가 미만",IF(M237=R237,"상한가 동액","상한가 초과")),"")</f>
        <v/>
      </c>
      <c r="AC237" s="3" t="n"/>
      <c r="AD237" s="7">
        <f>IF(COUNTA(A237:Q237,S237:V237,AC237)=0,"",IF(OR(A237="",B237="",C237="",NOT(ISNUMBER(G237))),"식별값 확인",IF(COUNTIFS(A$2:A$301,A237,B$2:B$301,B237,C$2:C$301,C237,G$2:G$301,G237)&gt;1,"중복 회차",IF(AND(ISNUMBER(K237),K237&gt;G237),"기일 후 예측",IF(AND(T237="낙찰",W237=""),"평가 입력 확인","")))))</f>
        <v/>
      </c>
    </row>
    <row r="238">
      <c r="A238" s="2" t="n"/>
      <c r="B238" s="2" t="n"/>
      <c r="C238" s="2" t="n"/>
      <c r="D238" s="2" t="n"/>
      <c r="E238" s="2" t="n"/>
      <c r="F238" s="2" t="n"/>
      <c r="G238" s="4" t="n"/>
      <c r="H238" s="5" t="n"/>
      <c r="I238" s="5" t="n"/>
      <c r="J238" s="2" t="n"/>
      <c r="K238" s="4" t="n"/>
      <c r="L238" s="5" t="n"/>
      <c r="M238" s="5" t="n"/>
      <c r="N238" s="2" t="n"/>
      <c r="O238" s="5" t="n"/>
      <c r="P238" s="5" t="n"/>
      <c r="Q238" s="5" t="n"/>
      <c r="R238" s="6">
        <f>IF(COUNT(O238:Q238)=3,O238-P238-Q238,"")</f>
        <v/>
      </c>
      <c r="S238" s="2" t="n"/>
      <c r="T238" s="2" t="n"/>
      <c r="U238" s="5" t="n"/>
      <c r="V238" s="2" t="n"/>
      <c r="W238" s="7">
        <f>IF(AND(A238&lt;&gt;"",B238&lt;&gt;"",C238&lt;&gt;"",ISNUMBER(G238),ISNUMBER(K238),K238&lt;=G238,K238&gt;0,T238="낙찰",ISNUMBER(L238),L238&gt;0,ISNUMBER(U238),U238&gt;0,COUNTIFS(A$2:A$301,A238,B$2:B$301,B238,C$2:C$301,C238,G$2:G$301,G238)=1),"평가 가능","")</f>
        <v/>
      </c>
      <c r="X238" s="8">
        <f>IF(W238="평가 가능",(L238-U238)/U238,"")</f>
        <v/>
      </c>
      <c r="Y238" s="8">
        <f>IF(W238="평가 가능",ABS(X238),"")</f>
        <v/>
      </c>
      <c r="Z238" s="7">
        <f>IF(AND(ISNUMBER(M238),M238&gt;0,ISNUMBER(I238)),IF(M238&lt;I238,"최저가 미달",IF(M238=I238,"최저가 동액","최저가 초과")),"")</f>
        <v/>
      </c>
      <c r="AA238" s="7">
        <f>IF(AND(T238="낙찰",ISNUMBER(M238),M238&gt;0,ISNUMBER(U238)),IF(M238&lt;U238,"실제 낙찰가 미만",IF(M238=U238,"실제 낙찰가 동액","실제 낙찰가 초과")),"")</f>
        <v/>
      </c>
      <c r="AB238" s="7">
        <f>IF(AND(ISNUMBER(M238),M238&gt;0,ISNUMBER(R238)),IF(M238&lt;R238,"상한가 미만",IF(M238=R238,"상한가 동액","상한가 초과")),"")</f>
        <v/>
      </c>
      <c r="AC238" s="2" t="n"/>
      <c r="AD238" s="7">
        <f>IF(COUNTA(A238:Q238,S238:V238,AC238)=0,"",IF(OR(A238="",B238="",C238="",NOT(ISNUMBER(G238))),"식별값 확인",IF(COUNTIFS(A$2:A$301,A238,B$2:B$301,B238,C$2:C$301,C238,G$2:G$301,G238)&gt;1,"중복 회차",IF(AND(ISNUMBER(K238),K238&gt;G238),"기일 후 예측",IF(AND(T238="낙찰",W238=""),"평가 입력 확인","")))))</f>
        <v/>
      </c>
    </row>
    <row r="239">
      <c r="A239" s="3" t="n"/>
      <c r="B239" s="3" t="n"/>
      <c r="C239" s="3" t="n"/>
      <c r="D239" s="3" t="n"/>
      <c r="E239" s="3" t="n"/>
      <c r="F239" s="3" t="n"/>
      <c r="G239" s="9" t="n"/>
      <c r="H239" s="10" t="n"/>
      <c r="I239" s="10" t="n"/>
      <c r="J239" s="3" t="n"/>
      <c r="K239" s="9" t="n"/>
      <c r="L239" s="10" t="n"/>
      <c r="M239" s="10" t="n"/>
      <c r="N239" s="3" t="n"/>
      <c r="O239" s="10" t="n"/>
      <c r="P239" s="10" t="n"/>
      <c r="Q239" s="10" t="n"/>
      <c r="R239" s="6">
        <f>IF(COUNT(O239:Q239)=3,O239-P239-Q239,"")</f>
        <v/>
      </c>
      <c r="S239" s="3" t="n"/>
      <c r="T239" s="3" t="n"/>
      <c r="U239" s="10" t="n"/>
      <c r="V239" s="3" t="n"/>
      <c r="W239" s="7">
        <f>IF(AND(A239&lt;&gt;"",B239&lt;&gt;"",C239&lt;&gt;"",ISNUMBER(G239),ISNUMBER(K239),K239&lt;=G239,K239&gt;0,T239="낙찰",ISNUMBER(L239),L239&gt;0,ISNUMBER(U239),U239&gt;0,COUNTIFS(A$2:A$301,A239,B$2:B$301,B239,C$2:C$301,C239,G$2:G$301,G239)=1),"평가 가능","")</f>
        <v/>
      </c>
      <c r="X239" s="8">
        <f>IF(W239="평가 가능",(L239-U239)/U239,"")</f>
        <v/>
      </c>
      <c r="Y239" s="8">
        <f>IF(W239="평가 가능",ABS(X239),"")</f>
        <v/>
      </c>
      <c r="Z239" s="7">
        <f>IF(AND(ISNUMBER(M239),M239&gt;0,ISNUMBER(I239)),IF(M239&lt;I239,"최저가 미달",IF(M239=I239,"최저가 동액","최저가 초과")),"")</f>
        <v/>
      </c>
      <c r="AA239" s="7">
        <f>IF(AND(T239="낙찰",ISNUMBER(M239),M239&gt;0,ISNUMBER(U239)),IF(M239&lt;U239,"실제 낙찰가 미만",IF(M239=U239,"실제 낙찰가 동액","실제 낙찰가 초과")),"")</f>
        <v/>
      </c>
      <c r="AB239" s="7">
        <f>IF(AND(ISNUMBER(M239),M239&gt;0,ISNUMBER(R239)),IF(M239&lt;R239,"상한가 미만",IF(M239=R239,"상한가 동액","상한가 초과")),"")</f>
        <v/>
      </c>
      <c r="AC239" s="3" t="n"/>
      <c r="AD239" s="7">
        <f>IF(COUNTA(A239:Q239,S239:V239,AC239)=0,"",IF(OR(A239="",B239="",C239="",NOT(ISNUMBER(G239))),"식별값 확인",IF(COUNTIFS(A$2:A$301,A239,B$2:B$301,B239,C$2:C$301,C239,G$2:G$301,G239)&gt;1,"중복 회차",IF(AND(ISNUMBER(K239),K239&gt;G239),"기일 후 예측",IF(AND(T239="낙찰",W239=""),"평가 입력 확인","")))))</f>
        <v/>
      </c>
    </row>
    <row r="240">
      <c r="A240" s="2" t="n"/>
      <c r="B240" s="2" t="n"/>
      <c r="C240" s="2" t="n"/>
      <c r="D240" s="2" t="n"/>
      <c r="E240" s="2" t="n"/>
      <c r="F240" s="2" t="n"/>
      <c r="G240" s="4" t="n"/>
      <c r="H240" s="5" t="n"/>
      <c r="I240" s="5" t="n"/>
      <c r="J240" s="2" t="n"/>
      <c r="K240" s="4" t="n"/>
      <c r="L240" s="5" t="n"/>
      <c r="M240" s="5" t="n"/>
      <c r="N240" s="2" t="n"/>
      <c r="O240" s="5" t="n"/>
      <c r="P240" s="5" t="n"/>
      <c r="Q240" s="5" t="n"/>
      <c r="R240" s="6">
        <f>IF(COUNT(O240:Q240)=3,O240-P240-Q240,"")</f>
        <v/>
      </c>
      <c r="S240" s="2" t="n"/>
      <c r="T240" s="2" t="n"/>
      <c r="U240" s="5" t="n"/>
      <c r="V240" s="2" t="n"/>
      <c r="W240" s="7">
        <f>IF(AND(A240&lt;&gt;"",B240&lt;&gt;"",C240&lt;&gt;"",ISNUMBER(G240),ISNUMBER(K240),K240&lt;=G240,K240&gt;0,T240="낙찰",ISNUMBER(L240),L240&gt;0,ISNUMBER(U240),U240&gt;0,COUNTIFS(A$2:A$301,A240,B$2:B$301,B240,C$2:C$301,C240,G$2:G$301,G240)=1),"평가 가능","")</f>
        <v/>
      </c>
      <c r="X240" s="8">
        <f>IF(W240="평가 가능",(L240-U240)/U240,"")</f>
        <v/>
      </c>
      <c r="Y240" s="8">
        <f>IF(W240="평가 가능",ABS(X240),"")</f>
        <v/>
      </c>
      <c r="Z240" s="7">
        <f>IF(AND(ISNUMBER(M240),M240&gt;0,ISNUMBER(I240)),IF(M240&lt;I240,"최저가 미달",IF(M240=I240,"최저가 동액","최저가 초과")),"")</f>
        <v/>
      </c>
      <c r="AA240" s="7">
        <f>IF(AND(T240="낙찰",ISNUMBER(M240),M240&gt;0,ISNUMBER(U240)),IF(M240&lt;U240,"실제 낙찰가 미만",IF(M240=U240,"실제 낙찰가 동액","실제 낙찰가 초과")),"")</f>
        <v/>
      </c>
      <c r="AB240" s="7">
        <f>IF(AND(ISNUMBER(M240),M240&gt;0,ISNUMBER(R240)),IF(M240&lt;R240,"상한가 미만",IF(M240=R240,"상한가 동액","상한가 초과")),"")</f>
        <v/>
      </c>
      <c r="AC240" s="2" t="n"/>
      <c r="AD240" s="7">
        <f>IF(COUNTA(A240:Q240,S240:V240,AC240)=0,"",IF(OR(A240="",B240="",C240="",NOT(ISNUMBER(G240))),"식별값 확인",IF(COUNTIFS(A$2:A$301,A240,B$2:B$301,B240,C$2:C$301,C240,G$2:G$301,G240)&gt;1,"중복 회차",IF(AND(ISNUMBER(K240),K240&gt;G240),"기일 후 예측",IF(AND(T240="낙찰",W240=""),"평가 입력 확인","")))))</f>
        <v/>
      </c>
    </row>
    <row r="241">
      <c r="A241" s="3" t="n"/>
      <c r="B241" s="3" t="n"/>
      <c r="C241" s="3" t="n"/>
      <c r="D241" s="3" t="n"/>
      <c r="E241" s="3" t="n"/>
      <c r="F241" s="3" t="n"/>
      <c r="G241" s="9" t="n"/>
      <c r="H241" s="10" t="n"/>
      <c r="I241" s="10" t="n"/>
      <c r="J241" s="3" t="n"/>
      <c r="K241" s="9" t="n"/>
      <c r="L241" s="10" t="n"/>
      <c r="M241" s="10" t="n"/>
      <c r="N241" s="3" t="n"/>
      <c r="O241" s="10" t="n"/>
      <c r="P241" s="10" t="n"/>
      <c r="Q241" s="10" t="n"/>
      <c r="R241" s="6">
        <f>IF(COUNT(O241:Q241)=3,O241-P241-Q241,"")</f>
        <v/>
      </c>
      <c r="S241" s="3" t="n"/>
      <c r="T241" s="3" t="n"/>
      <c r="U241" s="10" t="n"/>
      <c r="V241" s="3" t="n"/>
      <c r="W241" s="7">
        <f>IF(AND(A241&lt;&gt;"",B241&lt;&gt;"",C241&lt;&gt;"",ISNUMBER(G241),ISNUMBER(K241),K241&lt;=G241,K241&gt;0,T241="낙찰",ISNUMBER(L241),L241&gt;0,ISNUMBER(U241),U241&gt;0,COUNTIFS(A$2:A$301,A241,B$2:B$301,B241,C$2:C$301,C241,G$2:G$301,G241)=1),"평가 가능","")</f>
        <v/>
      </c>
      <c r="X241" s="8">
        <f>IF(W241="평가 가능",(L241-U241)/U241,"")</f>
        <v/>
      </c>
      <c r="Y241" s="8">
        <f>IF(W241="평가 가능",ABS(X241),"")</f>
        <v/>
      </c>
      <c r="Z241" s="7">
        <f>IF(AND(ISNUMBER(M241),M241&gt;0,ISNUMBER(I241)),IF(M241&lt;I241,"최저가 미달",IF(M241=I241,"최저가 동액","최저가 초과")),"")</f>
        <v/>
      </c>
      <c r="AA241" s="7">
        <f>IF(AND(T241="낙찰",ISNUMBER(M241),M241&gt;0,ISNUMBER(U241)),IF(M241&lt;U241,"실제 낙찰가 미만",IF(M241=U241,"실제 낙찰가 동액","실제 낙찰가 초과")),"")</f>
        <v/>
      </c>
      <c r="AB241" s="7">
        <f>IF(AND(ISNUMBER(M241),M241&gt;0,ISNUMBER(R241)),IF(M241&lt;R241,"상한가 미만",IF(M241=R241,"상한가 동액","상한가 초과")),"")</f>
        <v/>
      </c>
      <c r="AC241" s="3" t="n"/>
      <c r="AD241" s="7">
        <f>IF(COUNTA(A241:Q241,S241:V241,AC241)=0,"",IF(OR(A241="",B241="",C241="",NOT(ISNUMBER(G241))),"식별값 확인",IF(COUNTIFS(A$2:A$301,A241,B$2:B$301,B241,C$2:C$301,C241,G$2:G$301,G241)&gt;1,"중복 회차",IF(AND(ISNUMBER(K241),K241&gt;G241),"기일 후 예측",IF(AND(T241="낙찰",W241=""),"평가 입력 확인","")))))</f>
        <v/>
      </c>
    </row>
    <row r="242">
      <c r="A242" s="2" t="n"/>
      <c r="B242" s="2" t="n"/>
      <c r="C242" s="2" t="n"/>
      <c r="D242" s="2" t="n"/>
      <c r="E242" s="2" t="n"/>
      <c r="F242" s="2" t="n"/>
      <c r="G242" s="4" t="n"/>
      <c r="H242" s="5" t="n"/>
      <c r="I242" s="5" t="n"/>
      <c r="J242" s="2" t="n"/>
      <c r="K242" s="4" t="n"/>
      <c r="L242" s="5" t="n"/>
      <c r="M242" s="5" t="n"/>
      <c r="N242" s="2" t="n"/>
      <c r="O242" s="5" t="n"/>
      <c r="P242" s="5" t="n"/>
      <c r="Q242" s="5" t="n"/>
      <c r="R242" s="6">
        <f>IF(COUNT(O242:Q242)=3,O242-P242-Q242,"")</f>
        <v/>
      </c>
      <c r="S242" s="2" t="n"/>
      <c r="T242" s="2" t="n"/>
      <c r="U242" s="5" t="n"/>
      <c r="V242" s="2" t="n"/>
      <c r="W242" s="7">
        <f>IF(AND(A242&lt;&gt;"",B242&lt;&gt;"",C242&lt;&gt;"",ISNUMBER(G242),ISNUMBER(K242),K242&lt;=G242,K242&gt;0,T242="낙찰",ISNUMBER(L242),L242&gt;0,ISNUMBER(U242),U242&gt;0,COUNTIFS(A$2:A$301,A242,B$2:B$301,B242,C$2:C$301,C242,G$2:G$301,G242)=1),"평가 가능","")</f>
        <v/>
      </c>
      <c r="X242" s="8">
        <f>IF(W242="평가 가능",(L242-U242)/U242,"")</f>
        <v/>
      </c>
      <c r="Y242" s="8">
        <f>IF(W242="평가 가능",ABS(X242),"")</f>
        <v/>
      </c>
      <c r="Z242" s="7">
        <f>IF(AND(ISNUMBER(M242),M242&gt;0,ISNUMBER(I242)),IF(M242&lt;I242,"최저가 미달",IF(M242=I242,"최저가 동액","최저가 초과")),"")</f>
        <v/>
      </c>
      <c r="AA242" s="7">
        <f>IF(AND(T242="낙찰",ISNUMBER(M242),M242&gt;0,ISNUMBER(U242)),IF(M242&lt;U242,"실제 낙찰가 미만",IF(M242=U242,"실제 낙찰가 동액","실제 낙찰가 초과")),"")</f>
        <v/>
      </c>
      <c r="AB242" s="7">
        <f>IF(AND(ISNUMBER(M242),M242&gt;0,ISNUMBER(R242)),IF(M242&lt;R242,"상한가 미만",IF(M242=R242,"상한가 동액","상한가 초과")),"")</f>
        <v/>
      </c>
      <c r="AC242" s="2" t="n"/>
      <c r="AD242" s="7">
        <f>IF(COUNTA(A242:Q242,S242:V242,AC242)=0,"",IF(OR(A242="",B242="",C242="",NOT(ISNUMBER(G242))),"식별값 확인",IF(COUNTIFS(A$2:A$301,A242,B$2:B$301,B242,C$2:C$301,C242,G$2:G$301,G242)&gt;1,"중복 회차",IF(AND(ISNUMBER(K242),K242&gt;G242),"기일 후 예측",IF(AND(T242="낙찰",W242=""),"평가 입력 확인","")))))</f>
        <v/>
      </c>
    </row>
    <row r="243">
      <c r="A243" s="3" t="n"/>
      <c r="B243" s="3" t="n"/>
      <c r="C243" s="3" t="n"/>
      <c r="D243" s="3" t="n"/>
      <c r="E243" s="3" t="n"/>
      <c r="F243" s="3" t="n"/>
      <c r="G243" s="9" t="n"/>
      <c r="H243" s="10" t="n"/>
      <c r="I243" s="10" t="n"/>
      <c r="J243" s="3" t="n"/>
      <c r="K243" s="9" t="n"/>
      <c r="L243" s="10" t="n"/>
      <c r="M243" s="10" t="n"/>
      <c r="N243" s="3" t="n"/>
      <c r="O243" s="10" t="n"/>
      <c r="P243" s="10" t="n"/>
      <c r="Q243" s="10" t="n"/>
      <c r="R243" s="6">
        <f>IF(COUNT(O243:Q243)=3,O243-P243-Q243,"")</f>
        <v/>
      </c>
      <c r="S243" s="3" t="n"/>
      <c r="T243" s="3" t="n"/>
      <c r="U243" s="10" t="n"/>
      <c r="V243" s="3" t="n"/>
      <c r="W243" s="7">
        <f>IF(AND(A243&lt;&gt;"",B243&lt;&gt;"",C243&lt;&gt;"",ISNUMBER(G243),ISNUMBER(K243),K243&lt;=G243,K243&gt;0,T243="낙찰",ISNUMBER(L243),L243&gt;0,ISNUMBER(U243),U243&gt;0,COUNTIFS(A$2:A$301,A243,B$2:B$301,B243,C$2:C$301,C243,G$2:G$301,G243)=1),"평가 가능","")</f>
        <v/>
      </c>
      <c r="X243" s="8">
        <f>IF(W243="평가 가능",(L243-U243)/U243,"")</f>
        <v/>
      </c>
      <c r="Y243" s="8">
        <f>IF(W243="평가 가능",ABS(X243),"")</f>
        <v/>
      </c>
      <c r="Z243" s="7">
        <f>IF(AND(ISNUMBER(M243),M243&gt;0,ISNUMBER(I243)),IF(M243&lt;I243,"최저가 미달",IF(M243=I243,"최저가 동액","최저가 초과")),"")</f>
        <v/>
      </c>
      <c r="AA243" s="7">
        <f>IF(AND(T243="낙찰",ISNUMBER(M243),M243&gt;0,ISNUMBER(U243)),IF(M243&lt;U243,"실제 낙찰가 미만",IF(M243=U243,"실제 낙찰가 동액","실제 낙찰가 초과")),"")</f>
        <v/>
      </c>
      <c r="AB243" s="7">
        <f>IF(AND(ISNUMBER(M243),M243&gt;0,ISNUMBER(R243)),IF(M243&lt;R243,"상한가 미만",IF(M243=R243,"상한가 동액","상한가 초과")),"")</f>
        <v/>
      </c>
      <c r="AC243" s="3" t="n"/>
      <c r="AD243" s="7">
        <f>IF(COUNTA(A243:Q243,S243:V243,AC243)=0,"",IF(OR(A243="",B243="",C243="",NOT(ISNUMBER(G243))),"식별값 확인",IF(COUNTIFS(A$2:A$301,A243,B$2:B$301,B243,C$2:C$301,C243,G$2:G$301,G243)&gt;1,"중복 회차",IF(AND(ISNUMBER(K243),K243&gt;G243),"기일 후 예측",IF(AND(T243="낙찰",W243=""),"평가 입력 확인","")))))</f>
        <v/>
      </c>
    </row>
    <row r="244">
      <c r="A244" s="2" t="n"/>
      <c r="B244" s="2" t="n"/>
      <c r="C244" s="2" t="n"/>
      <c r="D244" s="2" t="n"/>
      <c r="E244" s="2" t="n"/>
      <c r="F244" s="2" t="n"/>
      <c r="G244" s="4" t="n"/>
      <c r="H244" s="5" t="n"/>
      <c r="I244" s="5" t="n"/>
      <c r="J244" s="2" t="n"/>
      <c r="K244" s="4" t="n"/>
      <c r="L244" s="5" t="n"/>
      <c r="M244" s="5" t="n"/>
      <c r="N244" s="2" t="n"/>
      <c r="O244" s="5" t="n"/>
      <c r="P244" s="5" t="n"/>
      <c r="Q244" s="5" t="n"/>
      <c r="R244" s="6">
        <f>IF(COUNT(O244:Q244)=3,O244-P244-Q244,"")</f>
        <v/>
      </c>
      <c r="S244" s="2" t="n"/>
      <c r="T244" s="2" t="n"/>
      <c r="U244" s="5" t="n"/>
      <c r="V244" s="2" t="n"/>
      <c r="W244" s="7">
        <f>IF(AND(A244&lt;&gt;"",B244&lt;&gt;"",C244&lt;&gt;"",ISNUMBER(G244),ISNUMBER(K244),K244&lt;=G244,K244&gt;0,T244="낙찰",ISNUMBER(L244),L244&gt;0,ISNUMBER(U244),U244&gt;0,COUNTIFS(A$2:A$301,A244,B$2:B$301,B244,C$2:C$301,C244,G$2:G$301,G244)=1),"평가 가능","")</f>
        <v/>
      </c>
      <c r="X244" s="8">
        <f>IF(W244="평가 가능",(L244-U244)/U244,"")</f>
        <v/>
      </c>
      <c r="Y244" s="8">
        <f>IF(W244="평가 가능",ABS(X244),"")</f>
        <v/>
      </c>
      <c r="Z244" s="7">
        <f>IF(AND(ISNUMBER(M244),M244&gt;0,ISNUMBER(I244)),IF(M244&lt;I244,"최저가 미달",IF(M244=I244,"최저가 동액","최저가 초과")),"")</f>
        <v/>
      </c>
      <c r="AA244" s="7">
        <f>IF(AND(T244="낙찰",ISNUMBER(M244),M244&gt;0,ISNUMBER(U244)),IF(M244&lt;U244,"실제 낙찰가 미만",IF(M244=U244,"실제 낙찰가 동액","실제 낙찰가 초과")),"")</f>
        <v/>
      </c>
      <c r="AB244" s="7">
        <f>IF(AND(ISNUMBER(M244),M244&gt;0,ISNUMBER(R244)),IF(M244&lt;R244,"상한가 미만",IF(M244=R244,"상한가 동액","상한가 초과")),"")</f>
        <v/>
      </c>
      <c r="AC244" s="2" t="n"/>
      <c r="AD244" s="7">
        <f>IF(COUNTA(A244:Q244,S244:V244,AC244)=0,"",IF(OR(A244="",B244="",C244="",NOT(ISNUMBER(G244))),"식별값 확인",IF(COUNTIFS(A$2:A$301,A244,B$2:B$301,B244,C$2:C$301,C244,G$2:G$301,G244)&gt;1,"중복 회차",IF(AND(ISNUMBER(K244),K244&gt;G244),"기일 후 예측",IF(AND(T244="낙찰",W244=""),"평가 입력 확인","")))))</f>
        <v/>
      </c>
    </row>
    <row r="245">
      <c r="A245" s="3" t="n"/>
      <c r="B245" s="3" t="n"/>
      <c r="C245" s="3" t="n"/>
      <c r="D245" s="3" t="n"/>
      <c r="E245" s="3" t="n"/>
      <c r="F245" s="3" t="n"/>
      <c r="G245" s="9" t="n"/>
      <c r="H245" s="10" t="n"/>
      <c r="I245" s="10" t="n"/>
      <c r="J245" s="3" t="n"/>
      <c r="K245" s="9" t="n"/>
      <c r="L245" s="10" t="n"/>
      <c r="M245" s="10" t="n"/>
      <c r="N245" s="3" t="n"/>
      <c r="O245" s="10" t="n"/>
      <c r="P245" s="10" t="n"/>
      <c r="Q245" s="10" t="n"/>
      <c r="R245" s="6">
        <f>IF(COUNT(O245:Q245)=3,O245-P245-Q245,"")</f>
        <v/>
      </c>
      <c r="S245" s="3" t="n"/>
      <c r="T245" s="3" t="n"/>
      <c r="U245" s="10" t="n"/>
      <c r="V245" s="3" t="n"/>
      <c r="W245" s="7">
        <f>IF(AND(A245&lt;&gt;"",B245&lt;&gt;"",C245&lt;&gt;"",ISNUMBER(G245),ISNUMBER(K245),K245&lt;=G245,K245&gt;0,T245="낙찰",ISNUMBER(L245),L245&gt;0,ISNUMBER(U245),U245&gt;0,COUNTIFS(A$2:A$301,A245,B$2:B$301,B245,C$2:C$301,C245,G$2:G$301,G245)=1),"평가 가능","")</f>
        <v/>
      </c>
      <c r="X245" s="8">
        <f>IF(W245="평가 가능",(L245-U245)/U245,"")</f>
        <v/>
      </c>
      <c r="Y245" s="8">
        <f>IF(W245="평가 가능",ABS(X245),"")</f>
        <v/>
      </c>
      <c r="Z245" s="7">
        <f>IF(AND(ISNUMBER(M245),M245&gt;0,ISNUMBER(I245)),IF(M245&lt;I245,"최저가 미달",IF(M245=I245,"최저가 동액","최저가 초과")),"")</f>
        <v/>
      </c>
      <c r="AA245" s="7">
        <f>IF(AND(T245="낙찰",ISNUMBER(M245),M245&gt;0,ISNUMBER(U245)),IF(M245&lt;U245,"실제 낙찰가 미만",IF(M245=U245,"실제 낙찰가 동액","실제 낙찰가 초과")),"")</f>
        <v/>
      </c>
      <c r="AB245" s="7">
        <f>IF(AND(ISNUMBER(M245),M245&gt;0,ISNUMBER(R245)),IF(M245&lt;R245,"상한가 미만",IF(M245=R245,"상한가 동액","상한가 초과")),"")</f>
        <v/>
      </c>
      <c r="AC245" s="3" t="n"/>
      <c r="AD245" s="7">
        <f>IF(COUNTA(A245:Q245,S245:V245,AC245)=0,"",IF(OR(A245="",B245="",C245="",NOT(ISNUMBER(G245))),"식별값 확인",IF(COUNTIFS(A$2:A$301,A245,B$2:B$301,B245,C$2:C$301,C245,G$2:G$301,G245)&gt;1,"중복 회차",IF(AND(ISNUMBER(K245),K245&gt;G245),"기일 후 예측",IF(AND(T245="낙찰",W245=""),"평가 입력 확인","")))))</f>
        <v/>
      </c>
    </row>
    <row r="246">
      <c r="A246" s="2" t="n"/>
      <c r="B246" s="2" t="n"/>
      <c r="C246" s="2" t="n"/>
      <c r="D246" s="2" t="n"/>
      <c r="E246" s="2" t="n"/>
      <c r="F246" s="2" t="n"/>
      <c r="G246" s="4" t="n"/>
      <c r="H246" s="5" t="n"/>
      <c r="I246" s="5" t="n"/>
      <c r="J246" s="2" t="n"/>
      <c r="K246" s="4" t="n"/>
      <c r="L246" s="5" t="n"/>
      <c r="M246" s="5" t="n"/>
      <c r="N246" s="2" t="n"/>
      <c r="O246" s="5" t="n"/>
      <c r="P246" s="5" t="n"/>
      <c r="Q246" s="5" t="n"/>
      <c r="R246" s="6">
        <f>IF(COUNT(O246:Q246)=3,O246-P246-Q246,"")</f>
        <v/>
      </c>
      <c r="S246" s="2" t="n"/>
      <c r="T246" s="2" t="n"/>
      <c r="U246" s="5" t="n"/>
      <c r="V246" s="2" t="n"/>
      <c r="W246" s="7">
        <f>IF(AND(A246&lt;&gt;"",B246&lt;&gt;"",C246&lt;&gt;"",ISNUMBER(G246),ISNUMBER(K246),K246&lt;=G246,K246&gt;0,T246="낙찰",ISNUMBER(L246),L246&gt;0,ISNUMBER(U246),U246&gt;0,COUNTIFS(A$2:A$301,A246,B$2:B$301,B246,C$2:C$301,C246,G$2:G$301,G246)=1),"평가 가능","")</f>
        <v/>
      </c>
      <c r="X246" s="8">
        <f>IF(W246="평가 가능",(L246-U246)/U246,"")</f>
        <v/>
      </c>
      <c r="Y246" s="8">
        <f>IF(W246="평가 가능",ABS(X246),"")</f>
        <v/>
      </c>
      <c r="Z246" s="7">
        <f>IF(AND(ISNUMBER(M246),M246&gt;0,ISNUMBER(I246)),IF(M246&lt;I246,"최저가 미달",IF(M246=I246,"최저가 동액","최저가 초과")),"")</f>
        <v/>
      </c>
      <c r="AA246" s="7">
        <f>IF(AND(T246="낙찰",ISNUMBER(M246),M246&gt;0,ISNUMBER(U246)),IF(M246&lt;U246,"실제 낙찰가 미만",IF(M246=U246,"실제 낙찰가 동액","실제 낙찰가 초과")),"")</f>
        <v/>
      </c>
      <c r="AB246" s="7">
        <f>IF(AND(ISNUMBER(M246),M246&gt;0,ISNUMBER(R246)),IF(M246&lt;R246,"상한가 미만",IF(M246=R246,"상한가 동액","상한가 초과")),"")</f>
        <v/>
      </c>
      <c r="AC246" s="2" t="n"/>
      <c r="AD246" s="7">
        <f>IF(COUNTA(A246:Q246,S246:V246,AC246)=0,"",IF(OR(A246="",B246="",C246="",NOT(ISNUMBER(G246))),"식별값 확인",IF(COUNTIFS(A$2:A$301,A246,B$2:B$301,B246,C$2:C$301,C246,G$2:G$301,G246)&gt;1,"중복 회차",IF(AND(ISNUMBER(K246),K246&gt;G246),"기일 후 예측",IF(AND(T246="낙찰",W246=""),"평가 입력 확인","")))))</f>
        <v/>
      </c>
    </row>
    <row r="247">
      <c r="A247" s="3" t="n"/>
      <c r="B247" s="3" t="n"/>
      <c r="C247" s="3" t="n"/>
      <c r="D247" s="3" t="n"/>
      <c r="E247" s="3" t="n"/>
      <c r="F247" s="3" t="n"/>
      <c r="G247" s="9" t="n"/>
      <c r="H247" s="10" t="n"/>
      <c r="I247" s="10" t="n"/>
      <c r="J247" s="3" t="n"/>
      <c r="K247" s="9" t="n"/>
      <c r="L247" s="10" t="n"/>
      <c r="M247" s="10" t="n"/>
      <c r="N247" s="3" t="n"/>
      <c r="O247" s="10" t="n"/>
      <c r="P247" s="10" t="n"/>
      <c r="Q247" s="10" t="n"/>
      <c r="R247" s="6">
        <f>IF(COUNT(O247:Q247)=3,O247-P247-Q247,"")</f>
        <v/>
      </c>
      <c r="S247" s="3" t="n"/>
      <c r="T247" s="3" t="n"/>
      <c r="U247" s="10" t="n"/>
      <c r="V247" s="3" t="n"/>
      <c r="W247" s="7">
        <f>IF(AND(A247&lt;&gt;"",B247&lt;&gt;"",C247&lt;&gt;"",ISNUMBER(G247),ISNUMBER(K247),K247&lt;=G247,K247&gt;0,T247="낙찰",ISNUMBER(L247),L247&gt;0,ISNUMBER(U247),U247&gt;0,COUNTIFS(A$2:A$301,A247,B$2:B$301,B247,C$2:C$301,C247,G$2:G$301,G247)=1),"평가 가능","")</f>
        <v/>
      </c>
      <c r="X247" s="8">
        <f>IF(W247="평가 가능",(L247-U247)/U247,"")</f>
        <v/>
      </c>
      <c r="Y247" s="8">
        <f>IF(W247="평가 가능",ABS(X247),"")</f>
        <v/>
      </c>
      <c r="Z247" s="7">
        <f>IF(AND(ISNUMBER(M247),M247&gt;0,ISNUMBER(I247)),IF(M247&lt;I247,"최저가 미달",IF(M247=I247,"최저가 동액","최저가 초과")),"")</f>
        <v/>
      </c>
      <c r="AA247" s="7">
        <f>IF(AND(T247="낙찰",ISNUMBER(M247),M247&gt;0,ISNUMBER(U247)),IF(M247&lt;U247,"실제 낙찰가 미만",IF(M247=U247,"실제 낙찰가 동액","실제 낙찰가 초과")),"")</f>
        <v/>
      </c>
      <c r="AB247" s="7">
        <f>IF(AND(ISNUMBER(M247),M247&gt;0,ISNUMBER(R247)),IF(M247&lt;R247,"상한가 미만",IF(M247=R247,"상한가 동액","상한가 초과")),"")</f>
        <v/>
      </c>
      <c r="AC247" s="3" t="n"/>
      <c r="AD247" s="7">
        <f>IF(COUNTA(A247:Q247,S247:V247,AC247)=0,"",IF(OR(A247="",B247="",C247="",NOT(ISNUMBER(G247))),"식별값 확인",IF(COUNTIFS(A$2:A$301,A247,B$2:B$301,B247,C$2:C$301,C247,G$2:G$301,G247)&gt;1,"중복 회차",IF(AND(ISNUMBER(K247),K247&gt;G247),"기일 후 예측",IF(AND(T247="낙찰",W247=""),"평가 입력 확인","")))))</f>
        <v/>
      </c>
    </row>
    <row r="248">
      <c r="A248" s="2" t="n"/>
      <c r="B248" s="2" t="n"/>
      <c r="C248" s="2" t="n"/>
      <c r="D248" s="2" t="n"/>
      <c r="E248" s="2" t="n"/>
      <c r="F248" s="2" t="n"/>
      <c r="G248" s="4" t="n"/>
      <c r="H248" s="5" t="n"/>
      <c r="I248" s="5" t="n"/>
      <c r="J248" s="2" t="n"/>
      <c r="K248" s="4" t="n"/>
      <c r="L248" s="5" t="n"/>
      <c r="M248" s="5" t="n"/>
      <c r="N248" s="2" t="n"/>
      <c r="O248" s="5" t="n"/>
      <c r="P248" s="5" t="n"/>
      <c r="Q248" s="5" t="n"/>
      <c r="R248" s="6">
        <f>IF(COUNT(O248:Q248)=3,O248-P248-Q248,"")</f>
        <v/>
      </c>
      <c r="S248" s="2" t="n"/>
      <c r="T248" s="2" t="n"/>
      <c r="U248" s="5" t="n"/>
      <c r="V248" s="2" t="n"/>
      <c r="W248" s="7">
        <f>IF(AND(A248&lt;&gt;"",B248&lt;&gt;"",C248&lt;&gt;"",ISNUMBER(G248),ISNUMBER(K248),K248&lt;=G248,K248&gt;0,T248="낙찰",ISNUMBER(L248),L248&gt;0,ISNUMBER(U248),U248&gt;0,COUNTIFS(A$2:A$301,A248,B$2:B$301,B248,C$2:C$301,C248,G$2:G$301,G248)=1),"평가 가능","")</f>
        <v/>
      </c>
      <c r="X248" s="8">
        <f>IF(W248="평가 가능",(L248-U248)/U248,"")</f>
        <v/>
      </c>
      <c r="Y248" s="8">
        <f>IF(W248="평가 가능",ABS(X248),"")</f>
        <v/>
      </c>
      <c r="Z248" s="7">
        <f>IF(AND(ISNUMBER(M248),M248&gt;0,ISNUMBER(I248)),IF(M248&lt;I248,"최저가 미달",IF(M248=I248,"최저가 동액","최저가 초과")),"")</f>
        <v/>
      </c>
      <c r="AA248" s="7">
        <f>IF(AND(T248="낙찰",ISNUMBER(M248),M248&gt;0,ISNUMBER(U248)),IF(M248&lt;U248,"실제 낙찰가 미만",IF(M248=U248,"실제 낙찰가 동액","실제 낙찰가 초과")),"")</f>
        <v/>
      </c>
      <c r="AB248" s="7">
        <f>IF(AND(ISNUMBER(M248),M248&gt;0,ISNUMBER(R248)),IF(M248&lt;R248,"상한가 미만",IF(M248=R248,"상한가 동액","상한가 초과")),"")</f>
        <v/>
      </c>
      <c r="AC248" s="2" t="n"/>
      <c r="AD248" s="7">
        <f>IF(COUNTA(A248:Q248,S248:V248,AC248)=0,"",IF(OR(A248="",B248="",C248="",NOT(ISNUMBER(G248))),"식별값 확인",IF(COUNTIFS(A$2:A$301,A248,B$2:B$301,B248,C$2:C$301,C248,G$2:G$301,G248)&gt;1,"중복 회차",IF(AND(ISNUMBER(K248),K248&gt;G248),"기일 후 예측",IF(AND(T248="낙찰",W248=""),"평가 입력 확인","")))))</f>
        <v/>
      </c>
    </row>
    <row r="249">
      <c r="A249" s="3" t="n"/>
      <c r="B249" s="3" t="n"/>
      <c r="C249" s="3" t="n"/>
      <c r="D249" s="3" t="n"/>
      <c r="E249" s="3" t="n"/>
      <c r="F249" s="3" t="n"/>
      <c r="G249" s="9" t="n"/>
      <c r="H249" s="10" t="n"/>
      <c r="I249" s="10" t="n"/>
      <c r="J249" s="3" t="n"/>
      <c r="K249" s="9" t="n"/>
      <c r="L249" s="10" t="n"/>
      <c r="M249" s="10" t="n"/>
      <c r="N249" s="3" t="n"/>
      <c r="O249" s="10" t="n"/>
      <c r="P249" s="10" t="n"/>
      <c r="Q249" s="10" t="n"/>
      <c r="R249" s="6">
        <f>IF(COUNT(O249:Q249)=3,O249-P249-Q249,"")</f>
        <v/>
      </c>
      <c r="S249" s="3" t="n"/>
      <c r="T249" s="3" t="n"/>
      <c r="U249" s="10" t="n"/>
      <c r="V249" s="3" t="n"/>
      <c r="W249" s="7">
        <f>IF(AND(A249&lt;&gt;"",B249&lt;&gt;"",C249&lt;&gt;"",ISNUMBER(G249),ISNUMBER(K249),K249&lt;=G249,K249&gt;0,T249="낙찰",ISNUMBER(L249),L249&gt;0,ISNUMBER(U249),U249&gt;0,COUNTIFS(A$2:A$301,A249,B$2:B$301,B249,C$2:C$301,C249,G$2:G$301,G249)=1),"평가 가능","")</f>
        <v/>
      </c>
      <c r="X249" s="8">
        <f>IF(W249="평가 가능",(L249-U249)/U249,"")</f>
        <v/>
      </c>
      <c r="Y249" s="8">
        <f>IF(W249="평가 가능",ABS(X249),"")</f>
        <v/>
      </c>
      <c r="Z249" s="7">
        <f>IF(AND(ISNUMBER(M249),M249&gt;0,ISNUMBER(I249)),IF(M249&lt;I249,"최저가 미달",IF(M249=I249,"최저가 동액","최저가 초과")),"")</f>
        <v/>
      </c>
      <c r="AA249" s="7">
        <f>IF(AND(T249="낙찰",ISNUMBER(M249),M249&gt;0,ISNUMBER(U249)),IF(M249&lt;U249,"실제 낙찰가 미만",IF(M249=U249,"실제 낙찰가 동액","실제 낙찰가 초과")),"")</f>
        <v/>
      </c>
      <c r="AB249" s="7">
        <f>IF(AND(ISNUMBER(M249),M249&gt;0,ISNUMBER(R249)),IF(M249&lt;R249,"상한가 미만",IF(M249=R249,"상한가 동액","상한가 초과")),"")</f>
        <v/>
      </c>
      <c r="AC249" s="3" t="n"/>
      <c r="AD249" s="7">
        <f>IF(COUNTA(A249:Q249,S249:V249,AC249)=0,"",IF(OR(A249="",B249="",C249="",NOT(ISNUMBER(G249))),"식별값 확인",IF(COUNTIFS(A$2:A$301,A249,B$2:B$301,B249,C$2:C$301,C249,G$2:G$301,G249)&gt;1,"중복 회차",IF(AND(ISNUMBER(K249),K249&gt;G249),"기일 후 예측",IF(AND(T249="낙찰",W249=""),"평가 입력 확인","")))))</f>
        <v/>
      </c>
    </row>
    <row r="250">
      <c r="A250" s="2" t="n"/>
      <c r="B250" s="2" t="n"/>
      <c r="C250" s="2" t="n"/>
      <c r="D250" s="2" t="n"/>
      <c r="E250" s="2" t="n"/>
      <c r="F250" s="2" t="n"/>
      <c r="G250" s="4" t="n"/>
      <c r="H250" s="5" t="n"/>
      <c r="I250" s="5" t="n"/>
      <c r="J250" s="2" t="n"/>
      <c r="K250" s="4" t="n"/>
      <c r="L250" s="5" t="n"/>
      <c r="M250" s="5" t="n"/>
      <c r="N250" s="2" t="n"/>
      <c r="O250" s="5" t="n"/>
      <c r="P250" s="5" t="n"/>
      <c r="Q250" s="5" t="n"/>
      <c r="R250" s="6">
        <f>IF(COUNT(O250:Q250)=3,O250-P250-Q250,"")</f>
        <v/>
      </c>
      <c r="S250" s="2" t="n"/>
      <c r="T250" s="2" t="n"/>
      <c r="U250" s="5" t="n"/>
      <c r="V250" s="2" t="n"/>
      <c r="W250" s="7">
        <f>IF(AND(A250&lt;&gt;"",B250&lt;&gt;"",C250&lt;&gt;"",ISNUMBER(G250),ISNUMBER(K250),K250&lt;=G250,K250&gt;0,T250="낙찰",ISNUMBER(L250),L250&gt;0,ISNUMBER(U250),U250&gt;0,COUNTIFS(A$2:A$301,A250,B$2:B$301,B250,C$2:C$301,C250,G$2:G$301,G250)=1),"평가 가능","")</f>
        <v/>
      </c>
      <c r="X250" s="8">
        <f>IF(W250="평가 가능",(L250-U250)/U250,"")</f>
        <v/>
      </c>
      <c r="Y250" s="8">
        <f>IF(W250="평가 가능",ABS(X250),"")</f>
        <v/>
      </c>
      <c r="Z250" s="7">
        <f>IF(AND(ISNUMBER(M250),M250&gt;0,ISNUMBER(I250)),IF(M250&lt;I250,"최저가 미달",IF(M250=I250,"최저가 동액","최저가 초과")),"")</f>
        <v/>
      </c>
      <c r="AA250" s="7">
        <f>IF(AND(T250="낙찰",ISNUMBER(M250),M250&gt;0,ISNUMBER(U250)),IF(M250&lt;U250,"실제 낙찰가 미만",IF(M250=U250,"실제 낙찰가 동액","실제 낙찰가 초과")),"")</f>
        <v/>
      </c>
      <c r="AB250" s="7">
        <f>IF(AND(ISNUMBER(M250),M250&gt;0,ISNUMBER(R250)),IF(M250&lt;R250,"상한가 미만",IF(M250=R250,"상한가 동액","상한가 초과")),"")</f>
        <v/>
      </c>
      <c r="AC250" s="2" t="n"/>
      <c r="AD250" s="7">
        <f>IF(COUNTA(A250:Q250,S250:V250,AC250)=0,"",IF(OR(A250="",B250="",C250="",NOT(ISNUMBER(G250))),"식별값 확인",IF(COUNTIFS(A$2:A$301,A250,B$2:B$301,B250,C$2:C$301,C250,G$2:G$301,G250)&gt;1,"중복 회차",IF(AND(ISNUMBER(K250),K250&gt;G250),"기일 후 예측",IF(AND(T250="낙찰",W250=""),"평가 입력 확인","")))))</f>
        <v/>
      </c>
    </row>
    <row r="251">
      <c r="A251" s="3" t="n"/>
      <c r="B251" s="3" t="n"/>
      <c r="C251" s="3" t="n"/>
      <c r="D251" s="3" t="n"/>
      <c r="E251" s="3" t="n"/>
      <c r="F251" s="3" t="n"/>
      <c r="G251" s="9" t="n"/>
      <c r="H251" s="10" t="n"/>
      <c r="I251" s="10" t="n"/>
      <c r="J251" s="3" t="n"/>
      <c r="K251" s="9" t="n"/>
      <c r="L251" s="10" t="n"/>
      <c r="M251" s="10" t="n"/>
      <c r="N251" s="3" t="n"/>
      <c r="O251" s="10" t="n"/>
      <c r="P251" s="10" t="n"/>
      <c r="Q251" s="10" t="n"/>
      <c r="R251" s="6">
        <f>IF(COUNT(O251:Q251)=3,O251-P251-Q251,"")</f>
        <v/>
      </c>
      <c r="S251" s="3" t="n"/>
      <c r="T251" s="3" t="n"/>
      <c r="U251" s="10" t="n"/>
      <c r="V251" s="3" t="n"/>
      <c r="W251" s="7">
        <f>IF(AND(A251&lt;&gt;"",B251&lt;&gt;"",C251&lt;&gt;"",ISNUMBER(G251),ISNUMBER(K251),K251&lt;=G251,K251&gt;0,T251="낙찰",ISNUMBER(L251),L251&gt;0,ISNUMBER(U251),U251&gt;0,COUNTIFS(A$2:A$301,A251,B$2:B$301,B251,C$2:C$301,C251,G$2:G$301,G251)=1),"평가 가능","")</f>
        <v/>
      </c>
      <c r="X251" s="8">
        <f>IF(W251="평가 가능",(L251-U251)/U251,"")</f>
        <v/>
      </c>
      <c r="Y251" s="8">
        <f>IF(W251="평가 가능",ABS(X251),"")</f>
        <v/>
      </c>
      <c r="Z251" s="7">
        <f>IF(AND(ISNUMBER(M251),M251&gt;0,ISNUMBER(I251)),IF(M251&lt;I251,"최저가 미달",IF(M251=I251,"최저가 동액","최저가 초과")),"")</f>
        <v/>
      </c>
      <c r="AA251" s="7">
        <f>IF(AND(T251="낙찰",ISNUMBER(M251),M251&gt;0,ISNUMBER(U251)),IF(M251&lt;U251,"실제 낙찰가 미만",IF(M251=U251,"실제 낙찰가 동액","실제 낙찰가 초과")),"")</f>
        <v/>
      </c>
      <c r="AB251" s="7">
        <f>IF(AND(ISNUMBER(M251),M251&gt;0,ISNUMBER(R251)),IF(M251&lt;R251,"상한가 미만",IF(M251=R251,"상한가 동액","상한가 초과")),"")</f>
        <v/>
      </c>
      <c r="AC251" s="3" t="n"/>
      <c r="AD251" s="7">
        <f>IF(COUNTA(A251:Q251,S251:V251,AC251)=0,"",IF(OR(A251="",B251="",C251="",NOT(ISNUMBER(G251))),"식별값 확인",IF(COUNTIFS(A$2:A$301,A251,B$2:B$301,B251,C$2:C$301,C251,G$2:G$301,G251)&gt;1,"중복 회차",IF(AND(ISNUMBER(K251),K251&gt;G251),"기일 후 예측",IF(AND(T251="낙찰",W251=""),"평가 입력 확인","")))))</f>
        <v/>
      </c>
    </row>
    <row r="252">
      <c r="A252" s="2" t="n"/>
      <c r="B252" s="2" t="n"/>
      <c r="C252" s="2" t="n"/>
      <c r="D252" s="2" t="n"/>
      <c r="E252" s="2" t="n"/>
      <c r="F252" s="2" t="n"/>
      <c r="G252" s="4" t="n"/>
      <c r="H252" s="5" t="n"/>
      <c r="I252" s="5" t="n"/>
      <c r="J252" s="2" t="n"/>
      <c r="K252" s="4" t="n"/>
      <c r="L252" s="5" t="n"/>
      <c r="M252" s="5" t="n"/>
      <c r="N252" s="2" t="n"/>
      <c r="O252" s="5" t="n"/>
      <c r="P252" s="5" t="n"/>
      <c r="Q252" s="5" t="n"/>
      <c r="R252" s="6">
        <f>IF(COUNT(O252:Q252)=3,O252-P252-Q252,"")</f>
        <v/>
      </c>
      <c r="S252" s="2" t="n"/>
      <c r="T252" s="2" t="n"/>
      <c r="U252" s="5" t="n"/>
      <c r="V252" s="2" t="n"/>
      <c r="W252" s="7">
        <f>IF(AND(A252&lt;&gt;"",B252&lt;&gt;"",C252&lt;&gt;"",ISNUMBER(G252),ISNUMBER(K252),K252&lt;=G252,K252&gt;0,T252="낙찰",ISNUMBER(L252),L252&gt;0,ISNUMBER(U252),U252&gt;0,COUNTIFS(A$2:A$301,A252,B$2:B$301,B252,C$2:C$301,C252,G$2:G$301,G252)=1),"평가 가능","")</f>
        <v/>
      </c>
      <c r="X252" s="8">
        <f>IF(W252="평가 가능",(L252-U252)/U252,"")</f>
        <v/>
      </c>
      <c r="Y252" s="8">
        <f>IF(W252="평가 가능",ABS(X252),"")</f>
        <v/>
      </c>
      <c r="Z252" s="7">
        <f>IF(AND(ISNUMBER(M252),M252&gt;0,ISNUMBER(I252)),IF(M252&lt;I252,"최저가 미달",IF(M252=I252,"최저가 동액","최저가 초과")),"")</f>
        <v/>
      </c>
      <c r="AA252" s="7">
        <f>IF(AND(T252="낙찰",ISNUMBER(M252),M252&gt;0,ISNUMBER(U252)),IF(M252&lt;U252,"실제 낙찰가 미만",IF(M252=U252,"실제 낙찰가 동액","실제 낙찰가 초과")),"")</f>
        <v/>
      </c>
      <c r="AB252" s="7">
        <f>IF(AND(ISNUMBER(M252),M252&gt;0,ISNUMBER(R252)),IF(M252&lt;R252,"상한가 미만",IF(M252=R252,"상한가 동액","상한가 초과")),"")</f>
        <v/>
      </c>
      <c r="AC252" s="2" t="n"/>
      <c r="AD252" s="7">
        <f>IF(COUNTA(A252:Q252,S252:V252,AC252)=0,"",IF(OR(A252="",B252="",C252="",NOT(ISNUMBER(G252))),"식별값 확인",IF(COUNTIFS(A$2:A$301,A252,B$2:B$301,B252,C$2:C$301,C252,G$2:G$301,G252)&gt;1,"중복 회차",IF(AND(ISNUMBER(K252),K252&gt;G252),"기일 후 예측",IF(AND(T252="낙찰",W252=""),"평가 입력 확인","")))))</f>
        <v/>
      </c>
    </row>
    <row r="253">
      <c r="A253" s="3" t="n"/>
      <c r="B253" s="3" t="n"/>
      <c r="C253" s="3" t="n"/>
      <c r="D253" s="3" t="n"/>
      <c r="E253" s="3" t="n"/>
      <c r="F253" s="3" t="n"/>
      <c r="G253" s="9" t="n"/>
      <c r="H253" s="10" t="n"/>
      <c r="I253" s="10" t="n"/>
      <c r="J253" s="3" t="n"/>
      <c r="K253" s="9" t="n"/>
      <c r="L253" s="10" t="n"/>
      <c r="M253" s="10" t="n"/>
      <c r="N253" s="3" t="n"/>
      <c r="O253" s="10" t="n"/>
      <c r="P253" s="10" t="n"/>
      <c r="Q253" s="10" t="n"/>
      <c r="R253" s="6">
        <f>IF(COUNT(O253:Q253)=3,O253-P253-Q253,"")</f>
        <v/>
      </c>
      <c r="S253" s="3" t="n"/>
      <c r="T253" s="3" t="n"/>
      <c r="U253" s="10" t="n"/>
      <c r="V253" s="3" t="n"/>
      <c r="W253" s="7">
        <f>IF(AND(A253&lt;&gt;"",B253&lt;&gt;"",C253&lt;&gt;"",ISNUMBER(G253),ISNUMBER(K253),K253&lt;=G253,K253&gt;0,T253="낙찰",ISNUMBER(L253),L253&gt;0,ISNUMBER(U253),U253&gt;0,COUNTIFS(A$2:A$301,A253,B$2:B$301,B253,C$2:C$301,C253,G$2:G$301,G253)=1),"평가 가능","")</f>
        <v/>
      </c>
      <c r="X253" s="8">
        <f>IF(W253="평가 가능",(L253-U253)/U253,"")</f>
        <v/>
      </c>
      <c r="Y253" s="8">
        <f>IF(W253="평가 가능",ABS(X253),"")</f>
        <v/>
      </c>
      <c r="Z253" s="7">
        <f>IF(AND(ISNUMBER(M253),M253&gt;0,ISNUMBER(I253)),IF(M253&lt;I253,"최저가 미달",IF(M253=I253,"최저가 동액","최저가 초과")),"")</f>
        <v/>
      </c>
      <c r="AA253" s="7">
        <f>IF(AND(T253="낙찰",ISNUMBER(M253),M253&gt;0,ISNUMBER(U253)),IF(M253&lt;U253,"실제 낙찰가 미만",IF(M253=U253,"실제 낙찰가 동액","실제 낙찰가 초과")),"")</f>
        <v/>
      </c>
      <c r="AB253" s="7">
        <f>IF(AND(ISNUMBER(M253),M253&gt;0,ISNUMBER(R253)),IF(M253&lt;R253,"상한가 미만",IF(M253=R253,"상한가 동액","상한가 초과")),"")</f>
        <v/>
      </c>
      <c r="AC253" s="3" t="n"/>
      <c r="AD253" s="7">
        <f>IF(COUNTA(A253:Q253,S253:V253,AC253)=0,"",IF(OR(A253="",B253="",C253="",NOT(ISNUMBER(G253))),"식별값 확인",IF(COUNTIFS(A$2:A$301,A253,B$2:B$301,B253,C$2:C$301,C253,G$2:G$301,G253)&gt;1,"중복 회차",IF(AND(ISNUMBER(K253),K253&gt;G253),"기일 후 예측",IF(AND(T253="낙찰",W253=""),"평가 입력 확인","")))))</f>
        <v/>
      </c>
    </row>
    <row r="254">
      <c r="A254" s="2" t="n"/>
      <c r="B254" s="2" t="n"/>
      <c r="C254" s="2" t="n"/>
      <c r="D254" s="2" t="n"/>
      <c r="E254" s="2" t="n"/>
      <c r="F254" s="2" t="n"/>
      <c r="G254" s="4" t="n"/>
      <c r="H254" s="5" t="n"/>
      <c r="I254" s="5" t="n"/>
      <c r="J254" s="2" t="n"/>
      <c r="K254" s="4" t="n"/>
      <c r="L254" s="5" t="n"/>
      <c r="M254" s="5" t="n"/>
      <c r="N254" s="2" t="n"/>
      <c r="O254" s="5" t="n"/>
      <c r="P254" s="5" t="n"/>
      <c r="Q254" s="5" t="n"/>
      <c r="R254" s="6">
        <f>IF(COUNT(O254:Q254)=3,O254-P254-Q254,"")</f>
        <v/>
      </c>
      <c r="S254" s="2" t="n"/>
      <c r="T254" s="2" t="n"/>
      <c r="U254" s="5" t="n"/>
      <c r="V254" s="2" t="n"/>
      <c r="W254" s="7">
        <f>IF(AND(A254&lt;&gt;"",B254&lt;&gt;"",C254&lt;&gt;"",ISNUMBER(G254),ISNUMBER(K254),K254&lt;=G254,K254&gt;0,T254="낙찰",ISNUMBER(L254),L254&gt;0,ISNUMBER(U254),U254&gt;0,COUNTIFS(A$2:A$301,A254,B$2:B$301,B254,C$2:C$301,C254,G$2:G$301,G254)=1),"평가 가능","")</f>
        <v/>
      </c>
      <c r="X254" s="8">
        <f>IF(W254="평가 가능",(L254-U254)/U254,"")</f>
        <v/>
      </c>
      <c r="Y254" s="8">
        <f>IF(W254="평가 가능",ABS(X254),"")</f>
        <v/>
      </c>
      <c r="Z254" s="7">
        <f>IF(AND(ISNUMBER(M254),M254&gt;0,ISNUMBER(I254)),IF(M254&lt;I254,"최저가 미달",IF(M254=I254,"최저가 동액","최저가 초과")),"")</f>
        <v/>
      </c>
      <c r="AA254" s="7">
        <f>IF(AND(T254="낙찰",ISNUMBER(M254),M254&gt;0,ISNUMBER(U254)),IF(M254&lt;U254,"실제 낙찰가 미만",IF(M254=U254,"실제 낙찰가 동액","실제 낙찰가 초과")),"")</f>
        <v/>
      </c>
      <c r="AB254" s="7">
        <f>IF(AND(ISNUMBER(M254),M254&gt;0,ISNUMBER(R254)),IF(M254&lt;R254,"상한가 미만",IF(M254=R254,"상한가 동액","상한가 초과")),"")</f>
        <v/>
      </c>
      <c r="AC254" s="2" t="n"/>
      <c r="AD254" s="7">
        <f>IF(COUNTA(A254:Q254,S254:V254,AC254)=0,"",IF(OR(A254="",B254="",C254="",NOT(ISNUMBER(G254))),"식별값 확인",IF(COUNTIFS(A$2:A$301,A254,B$2:B$301,B254,C$2:C$301,C254,G$2:G$301,G254)&gt;1,"중복 회차",IF(AND(ISNUMBER(K254),K254&gt;G254),"기일 후 예측",IF(AND(T254="낙찰",W254=""),"평가 입력 확인","")))))</f>
        <v/>
      </c>
    </row>
    <row r="255">
      <c r="A255" s="3" t="n"/>
      <c r="B255" s="3" t="n"/>
      <c r="C255" s="3" t="n"/>
      <c r="D255" s="3" t="n"/>
      <c r="E255" s="3" t="n"/>
      <c r="F255" s="3" t="n"/>
      <c r="G255" s="9" t="n"/>
      <c r="H255" s="10" t="n"/>
      <c r="I255" s="10" t="n"/>
      <c r="J255" s="3" t="n"/>
      <c r="K255" s="9" t="n"/>
      <c r="L255" s="10" t="n"/>
      <c r="M255" s="10" t="n"/>
      <c r="N255" s="3" t="n"/>
      <c r="O255" s="10" t="n"/>
      <c r="P255" s="10" t="n"/>
      <c r="Q255" s="10" t="n"/>
      <c r="R255" s="6">
        <f>IF(COUNT(O255:Q255)=3,O255-P255-Q255,"")</f>
        <v/>
      </c>
      <c r="S255" s="3" t="n"/>
      <c r="T255" s="3" t="n"/>
      <c r="U255" s="10" t="n"/>
      <c r="V255" s="3" t="n"/>
      <c r="W255" s="7">
        <f>IF(AND(A255&lt;&gt;"",B255&lt;&gt;"",C255&lt;&gt;"",ISNUMBER(G255),ISNUMBER(K255),K255&lt;=G255,K255&gt;0,T255="낙찰",ISNUMBER(L255),L255&gt;0,ISNUMBER(U255),U255&gt;0,COUNTIFS(A$2:A$301,A255,B$2:B$301,B255,C$2:C$301,C255,G$2:G$301,G255)=1),"평가 가능","")</f>
        <v/>
      </c>
      <c r="X255" s="8">
        <f>IF(W255="평가 가능",(L255-U255)/U255,"")</f>
        <v/>
      </c>
      <c r="Y255" s="8">
        <f>IF(W255="평가 가능",ABS(X255),"")</f>
        <v/>
      </c>
      <c r="Z255" s="7">
        <f>IF(AND(ISNUMBER(M255),M255&gt;0,ISNUMBER(I255)),IF(M255&lt;I255,"최저가 미달",IF(M255=I255,"최저가 동액","최저가 초과")),"")</f>
        <v/>
      </c>
      <c r="AA255" s="7">
        <f>IF(AND(T255="낙찰",ISNUMBER(M255),M255&gt;0,ISNUMBER(U255)),IF(M255&lt;U255,"실제 낙찰가 미만",IF(M255=U255,"실제 낙찰가 동액","실제 낙찰가 초과")),"")</f>
        <v/>
      </c>
      <c r="AB255" s="7">
        <f>IF(AND(ISNUMBER(M255),M255&gt;0,ISNUMBER(R255)),IF(M255&lt;R255,"상한가 미만",IF(M255=R255,"상한가 동액","상한가 초과")),"")</f>
        <v/>
      </c>
      <c r="AC255" s="3" t="n"/>
      <c r="AD255" s="7">
        <f>IF(COUNTA(A255:Q255,S255:V255,AC255)=0,"",IF(OR(A255="",B255="",C255="",NOT(ISNUMBER(G255))),"식별값 확인",IF(COUNTIFS(A$2:A$301,A255,B$2:B$301,B255,C$2:C$301,C255,G$2:G$301,G255)&gt;1,"중복 회차",IF(AND(ISNUMBER(K255),K255&gt;G255),"기일 후 예측",IF(AND(T255="낙찰",W255=""),"평가 입력 확인","")))))</f>
        <v/>
      </c>
    </row>
    <row r="256">
      <c r="A256" s="2" t="n"/>
      <c r="B256" s="2" t="n"/>
      <c r="C256" s="2" t="n"/>
      <c r="D256" s="2" t="n"/>
      <c r="E256" s="2" t="n"/>
      <c r="F256" s="2" t="n"/>
      <c r="G256" s="4" t="n"/>
      <c r="H256" s="5" t="n"/>
      <c r="I256" s="5" t="n"/>
      <c r="J256" s="2" t="n"/>
      <c r="K256" s="4" t="n"/>
      <c r="L256" s="5" t="n"/>
      <c r="M256" s="5" t="n"/>
      <c r="N256" s="2" t="n"/>
      <c r="O256" s="5" t="n"/>
      <c r="P256" s="5" t="n"/>
      <c r="Q256" s="5" t="n"/>
      <c r="R256" s="6">
        <f>IF(COUNT(O256:Q256)=3,O256-P256-Q256,"")</f>
        <v/>
      </c>
      <c r="S256" s="2" t="n"/>
      <c r="T256" s="2" t="n"/>
      <c r="U256" s="5" t="n"/>
      <c r="V256" s="2" t="n"/>
      <c r="W256" s="7">
        <f>IF(AND(A256&lt;&gt;"",B256&lt;&gt;"",C256&lt;&gt;"",ISNUMBER(G256),ISNUMBER(K256),K256&lt;=G256,K256&gt;0,T256="낙찰",ISNUMBER(L256),L256&gt;0,ISNUMBER(U256),U256&gt;0,COUNTIFS(A$2:A$301,A256,B$2:B$301,B256,C$2:C$301,C256,G$2:G$301,G256)=1),"평가 가능","")</f>
        <v/>
      </c>
      <c r="X256" s="8">
        <f>IF(W256="평가 가능",(L256-U256)/U256,"")</f>
        <v/>
      </c>
      <c r="Y256" s="8">
        <f>IF(W256="평가 가능",ABS(X256),"")</f>
        <v/>
      </c>
      <c r="Z256" s="7">
        <f>IF(AND(ISNUMBER(M256),M256&gt;0,ISNUMBER(I256)),IF(M256&lt;I256,"최저가 미달",IF(M256=I256,"최저가 동액","최저가 초과")),"")</f>
        <v/>
      </c>
      <c r="AA256" s="7">
        <f>IF(AND(T256="낙찰",ISNUMBER(M256),M256&gt;0,ISNUMBER(U256)),IF(M256&lt;U256,"실제 낙찰가 미만",IF(M256=U256,"실제 낙찰가 동액","실제 낙찰가 초과")),"")</f>
        <v/>
      </c>
      <c r="AB256" s="7">
        <f>IF(AND(ISNUMBER(M256),M256&gt;0,ISNUMBER(R256)),IF(M256&lt;R256,"상한가 미만",IF(M256=R256,"상한가 동액","상한가 초과")),"")</f>
        <v/>
      </c>
      <c r="AC256" s="2" t="n"/>
      <c r="AD256" s="7">
        <f>IF(COUNTA(A256:Q256,S256:V256,AC256)=0,"",IF(OR(A256="",B256="",C256="",NOT(ISNUMBER(G256))),"식별값 확인",IF(COUNTIFS(A$2:A$301,A256,B$2:B$301,B256,C$2:C$301,C256,G$2:G$301,G256)&gt;1,"중복 회차",IF(AND(ISNUMBER(K256),K256&gt;G256),"기일 후 예측",IF(AND(T256="낙찰",W256=""),"평가 입력 확인","")))))</f>
        <v/>
      </c>
    </row>
    <row r="257">
      <c r="A257" s="3" t="n"/>
      <c r="B257" s="3" t="n"/>
      <c r="C257" s="3" t="n"/>
      <c r="D257" s="3" t="n"/>
      <c r="E257" s="3" t="n"/>
      <c r="F257" s="3" t="n"/>
      <c r="G257" s="9" t="n"/>
      <c r="H257" s="10" t="n"/>
      <c r="I257" s="10" t="n"/>
      <c r="J257" s="3" t="n"/>
      <c r="K257" s="9" t="n"/>
      <c r="L257" s="10" t="n"/>
      <c r="M257" s="10" t="n"/>
      <c r="N257" s="3" t="n"/>
      <c r="O257" s="10" t="n"/>
      <c r="P257" s="10" t="n"/>
      <c r="Q257" s="10" t="n"/>
      <c r="R257" s="6">
        <f>IF(COUNT(O257:Q257)=3,O257-P257-Q257,"")</f>
        <v/>
      </c>
      <c r="S257" s="3" t="n"/>
      <c r="T257" s="3" t="n"/>
      <c r="U257" s="10" t="n"/>
      <c r="V257" s="3" t="n"/>
      <c r="W257" s="7">
        <f>IF(AND(A257&lt;&gt;"",B257&lt;&gt;"",C257&lt;&gt;"",ISNUMBER(G257),ISNUMBER(K257),K257&lt;=G257,K257&gt;0,T257="낙찰",ISNUMBER(L257),L257&gt;0,ISNUMBER(U257),U257&gt;0,COUNTIFS(A$2:A$301,A257,B$2:B$301,B257,C$2:C$301,C257,G$2:G$301,G257)=1),"평가 가능","")</f>
        <v/>
      </c>
      <c r="X257" s="8">
        <f>IF(W257="평가 가능",(L257-U257)/U257,"")</f>
        <v/>
      </c>
      <c r="Y257" s="8">
        <f>IF(W257="평가 가능",ABS(X257),"")</f>
        <v/>
      </c>
      <c r="Z257" s="7">
        <f>IF(AND(ISNUMBER(M257),M257&gt;0,ISNUMBER(I257)),IF(M257&lt;I257,"최저가 미달",IF(M257=I257,"최저가 동액","최저가 초과")),"")</f>
        <v/>
      </c>
      <c r="AA257" s="7">
        <f>IF(AND(T257="낙찰",ISNUMBER(M257),M257&gt;0,ISNUMBER(U257)),IF(M257&lt;U257,"실제 낙찰가 미만",IF(M257=U257,"실제 낙찰가 동액","실제 낙찰가 초과")),"")</f>
        <v/>
      </c>
      <c r="AB257" s="7">
        <f>IF(AND(ISNUMBER(M257),M257&gt;0,ISNUMBER(R257)),IF(M257&lt;R257,"상한가 미만",IF(M257=R257,"상한가 동액","상한가 초과")),"")</f>
        <v/>
      </c>
      <c r="AC257" s="3" t="n"/>
      <c r="AD257" s="7">
        <f>IF(COUNTA(A257:Q257,S257:V257,AC257)=0,"",IF(OR(A257="",B257="",C257="",NOT(ISNUMBER(G257))),"식별값 확인",IF(COUNTIFS(A$2:A$301,A257,B$2:B$301,B257,C$2:C$301,C257,G$2:G$301,G257)&gt;1,"중복 회차",IF(AND(ISNUMBER(K257),K257&gt;G257),"기일 후 예측",IF(AND(T257="낙찰",W257=""),"평가 입력 확인","")))))</f>
        <v/>
      </c>
    </row>
    <row r="258">
      <c r="A258" s="2" t="n"/>
      <c r="B258" s="2" t="n"/>
      <c r="C258" s="2" t="n"/>
      <c r="D258" s="2" t="n"/>
      <c r="E258" s="2" t="n"/>
      <c r="F258" s="2" t="n"/>
      <c r="G258" s="4" t="n"/>
      <c r="H258" s="5" t="n"/>
      <c r="I258" s="5" t="n"/>
      <c r="J258" s="2" t="n"/>
      <c r="K258" s="4" t="n"/>
      <c r="L258" s="5" t="n"/>
      <c r="M258" s="5" t="n"/>
      <c r="N258" s="2" t="n"/>
      <c r="O258" s="5" t="n"/>
      <c r="P258" s="5" t="n"/>
      <c r="Q258" s="5" t="n"/>
      <c r="R258" s="6">
        <f>IF(COUNT(O258:Q258)=3,O258-P258-Q258,"")</f>
        <v/>
      </c>
      <c r="S258" s="2" t="n"/>
      <c r="T258" s="2" t="n"/>
      <c r="U258" s="5" t="n"/>
      <c r="V258" s="2" t="n"/>
      <c r="W258" s="7">
        <f>IF(AND(A258&lt;&gt;"",B258&lt;&gt;"",C258&lt;&gt;"",ISNUMBER(G258),ISNUMBER(K258),K258&lt;=G258,K258&gt;0,T258="낙찰",ISNUMBER(L258),L258&gt;0,ISNUMBER(U258),U258&gt;0,COUNTIFS(A$2:A$301,A258,B$2:B$301,B258,C$2:C$301,C258,G$2:G$301,G258)=1),"평가 가능","")</f>
        <v/>
      </c>
      <c r="X258" s="8">
        <f>IF(W258="평가 가능",(L258-U258)/U258,"")</f>
        <v/>
      </c>
      <c r="Y258" s="8">
        <f>IF(W258="평가 가능",ABS(X258),"")</f>
        <v/>
      </c>
      <c r="Z258" s="7">
        <f>IF(AND(ISNUMBER(M258),M258&gt;0,ISNUMBER(I258)),IF(M258&lt;I258,"최저가 미달",IF(M258=I258,"최저가 동액","최저가 초과")),"")</f>
        <v/>
      </c>
      <c r="AA258" s="7">
        <f>IF(AND(T258="낙찰",ISNUMBER(M258),M258&gt;0,ISNUMBER(U258)),IF(M258&lt;U258,"실제 낙찰가 미만",IF(M258=U258,"실제 낙찰가 동액","실제 낙찰가 초과")),"")</f>
        <v/>
      </c>
      <c r="AB258" s="7">
        <f>IF(AND(ISNUMBER(M258),M258&gt;0,ISNUMBER(R258)),IF(M258&lt;R258,"상한가 미만",IF(M258=R258,"상한가 동액","상한가 초과")),"")</f>
        <v/>
      </c>
      <c r="AC258" s="2" t="n"/>
      <c r="AD258" s="7">
        <f>IF(COUNTA(A258:Q258,S258:V258,AC258)=0,"",IF(OR(A258="",B258="",C258="",NOT(ISNUMBER(G258))),"식별값 확인",IF(COUNTIFS(A$2:A$301,A258,B$2:B$301,B258,C$2:C$301,C258,G$2:G$301,G258)&gt;1,"중복 회차",IF(AND(ISNUMBER(K258),K258&gt;G258),"기일 후 예측",IF(AND(T258="낙찰",W258=""),"평가 입력 확인","")))))</f>
        <v/>
      </c>
    </row>
    <row r="259">
      <c r="A259" s="3" t="n"/>
      <c r="B259" s="3" t="n"/>
      <c r="C259" s="3" t="n"/>
      <c r="D259" s="3" t="n"/>
      <c r="E259" s="3" t="n"/>
      <c r="F259" s="3" t="n"/>
      <c r="G259" s="9" t="n"/>
      <c r="H259" s="10" t="n"/>
      <c r="I259" s="10" t="n"/>
      <c r="J259" s="3" t="n"/>
      <c r="K259" s="9" t="n"/>
      <c r="L259" s="10" t="n"/>
      <c r="M259" s="10" t="n"/>
      <c r="N259" s="3" t="n"/>
      <c r="O259" s="10" t="n"/>
      <c r="P259" s="10" t="n"/>
      <c r="Q259" s="10" t="n"/>
      <c r="R259" s="6">
        <f>IF(COUNT(O259:Q259)=3,O259-P259-Q259,"")</f>
        <v/>
      </c>
      <c r="S259" s="3" t="n"/>
      <c r="T259" s="3" t="n"/>
      <c r="U259" s="10" t="n"/>
      <c r="V259" s="3" t="n"/>
      <c r="W259" s="7">
        <f>IF(AND(A259&lt;&gt;"",B259&lt;&gt;"",C259&lt;&gt;"",ISNUMBER(G259),ISNUMBER(K259),K259&lt;=G259,K259&gt;0,T259="낙찰",ISNUMBER(L259),L259&gt;0,ISNUMBER(U259),U259&gt;0,COUNTIFS(A$2:A$301,A259,B$2:B$301,B259,C$2:C$301,C259,G$2:G$301,G259)=1),"평가 가능","")</f>
        <v/>
      </c>
      <c r="X259" s="8">
        <f>IF(W259="평가 가능",(L259-U259)/U259,"")</f>
        <v/>
      </c>
      <c r="Y259" s="8">
        <f>IF(W259="평가 가능",ABS(X259),"")</f>
        <v/>
      </c>
      <c r="Z259" s="7">
        <f>IF(AND(ISNUMBER(M259),M259&gt;0,ISNUMBER(I259)),IF(M259&lt;I259,"최저가 미달",IF(M259=I259,"최저가 동액","최저가 초과")),"")</f>
        <v/>
      </c>
      <c r="AA259" s="7">
        <f>IF(AND(T259="낙찰",ISNUMBER(M259),M259&gt;0,ISNUMBER(U259)),IF(M259&lt;U259,"실제 낙찰가 미만",IF(M259=U259,"실제 낙찰가 동액","실제 낙찰가 초과")),"")</f>
        <v/>
      </c>
      <c r="AB259" s="7">
        <f>IF(AND(ISNUMBER(M259),M259&gt;0,ISNUMBER(R259)),IF(M259&lt;R259,"상한가 미만",IF(M259=R259,"상한가 동액","상한가 초과")),"")</f>
        <v/>
      </c>
      <c r="AC259" s="3" t="n"/>
      <c r="AD259" s="7">
        <f>IF(COUNTA(A259:Q259,S259:V259,AC259)=0,"",IF(OR(A259="",B259="",C259="",NOT(ISNUMBER(G259))),"식별값 확인",IF(COUNTIFS(A$2:A$301,A259,B$2:B$301,B259,C$2:C$301,C259,G$2:G$301,G259)&gt;1,"중복 회차",IF(AND(ISNUMBER(K259),K259&gt;G259),"기일 후 예측",IF(AND(T259="낙찰",W259=""),"평가 입력 확인","")))))</f>
        <v/>
      </c>
    </row>
    <row r="260">
      <c r="A260" s="2" t="n"/>
      <c r="B260" s="2" t="n"/>
      <c r="C260" s="2" t="n"/>
      <c r="D260" s="2" t="n"/>
      <c r="E260" s="2" t="n"/>
      <c r="F260" s="2" t="n"/>
      <c r="G260" s="4" t="n"/>
      <c r="H260" s="5" t="n"/>
      <c r="I260" s="5" t="n"/>
      <c r="J260" s="2" t="n"/>
      <c r="K260" s="4" t="n"/>
      <c r="L260" s="5" t="n"/>
      <c r="M260" s="5" t="n"/>
      <c r="N260" s="2" t="n"/>
      <c r="O260" s="5" t="n"/>
      <c r="P260" s="5" t="n"/>
      <c r="Q260" s="5" t="n"/>
      <c r="R260" s="6">
        <f>IF(COUNT(O260:Q260)=3,O260-P260-Q260,"")</f>
        <v/>
      </c>
      <c r="S260" s="2" t="n"/>
      <c r="T260" s="2" t="n"/>
      <c r="U260" s="5" t="n"/>
      <c r="V260" s="2" t="n"/>
      <c r="W260" s="7">
        <f>IF(AND(A260&lt;&gt;"",B260&lt;&gt;"",C260&lt;&gt;"",ISNUMBER(G260),ISNUMBER(K260),K260&lt;=G260,K260&gt;0,T260="낙찰",ISNUMBER(L260),L260&gt;0,ISNUMBER(U260),U260&gt;0,COUNTIFS(A$2:A$301,A260,B$2:B$301,B260,C$2:C$301,C260,G$2:G$301,G260)=1),"평가 가능","")</f>
        <v/>
      </c>
      <c r="X260" s="8">
        <f>IF(W260="평가 가능",(L260-U260)/U260,"")</f>
        <v/>
      </c>
      <c r="Y260" s="8">
        <f>IF(W260="평가 가능",ABS(X260),"")</f>
        <v/>
      </c>
      <c r="Z260" s="7">
        <f>IF(AND(ISNUMBER(M260),M260&gt;0,ISNUMBER(I260)),IF(M260&lt;I260,"최저가 미달",IF(M260=I260,"최저가 동액","최저가 초과")),"")</f>
        <v/>
      </c>
      <c r="AA260" s="7">
        <f>IF(AND(T260="낙찰",ISNUMBER(M260),M260&gt;0,ISNUMBER(U260)),IF(M260&lt;U260,"실제 낙찰가 미만",IF(M260=U260,"실제 낙찰가 동액","실제 낙찰가 초과")),"")</f>
        <v/>
      </c>
      <c r="AB260" s="7">
        <f>IF(AND(ISNUMBER(M260),M260&gt;0,ISNUMBER(R260)),IF(M260&lt;R260,"상한가 미만",IF(M260=R260,"상한가 동액","상한가 초과")),"")</f>
        <v/>
      </c>
      <c r="AC260" s="2" t="n"/>
      <c r="AD260" s="7">
        <f>IF(COUNTA(A260:Q260,S260:V260,AC260)=0,"",IF(OR(A260="",B260="",C260="",NOT(ISNUMBER(G260))),"식별값 확인",IF(COUNTIFS(A$2:A$301,A260,B$2:B$301,B260,C$2:C$301,C260,G$2:G$301,G260)&gt;1,"중복 회차",IF(AND(ISNUMBER(K260),K260&gt;G260),"기일 후 예측",IF(AND(T260="낙찰",W260=""),"평가 입력 확인","")))))</f>
        <v/>
      </c>
    </row>
    <row r="261">
      <c r="A261" s="3" t="n"/>
      <c r="B261" s="3" t="n"/>
      <c r="C261" s="3" t="n"/>
      <c r="D261" s="3" t="n"/>
      <c r="E261" s="3" t="n"/>
      <c r="F261" s="3" t="n"/>
      <c r="G261" s="9" t="n"/>
      <c r="H261" s="10" t="n"/>
      <c r="I261" s="10" t="n"/>
      <c r="J261" s="3" t="n"/>
      <c r="K261" s="9" t="n"/>
      <c r="L261" s="10" t="n"/>
      <c r="M261" s="10" t="n"/>
      <c r="N261" s="3" t="n"/>
      <c r="O261" s="10" t="n"/>
      <c r="P261" s="10" t="n"/>
      <c r="Q261" s="10" t="n"/>
      <c r="R261" s="6">
        <f>IF(COUNT(O261:Q261)=3,O261-P261-Q261,"")</f>
        <v/>
      </c>
      <c r="S261" s="3" t="n"/>
      <c r="T261" s="3" t="n"/>
      <c r="U261" s="10" t="n"/>
      <c r="V261" s="3" t="n"/>
      <c r="W261" s="7">
        <f>IF(AND(A261&lt;&gt;"",B261&lt;&gt;"",C261&lt;&gt;"",ISNUMBER(G261),ISNUMBER(K261),K261&lt;=G261,K261&gt;0,T261="낙찰",ISNUMBER(L261),L261&gt;0,ISNUMBER(U261),U261&gt;0,COUNTIFS(A$2:A$301,A261,B$2:B$301,B261,C$2:C$301,C261,G$2:G$301,G261)=1),"평가 가능","")</f>
        <v/>
      </c>
      <c r="X261" s="8">
        <f>IF(W261="평가 가능",(L261-U261)/U261,"")</f>
        <v/>
      </c>
      <c r="Y261" s="8">
        <f>IF(W261="평가 가능",ABS(X261),"")</f>
        <v/>
      </c>
      <c r="Z261" s="7">
        <f>IF(AND(ISNUMBER(M261),M261&gt;0,ISNUMBER(I261)),IF(M261&lt;I261,"최저가 미달",IF(M261=I261,"최저가 동액","최저가 초과")),"")</f>
        <v/>
      </c>
      <c r="AA261" s="7">
        <f>IF(AND(T261="낙찰",ISNUMBER(M261),M261&gt;0,ISNUMBER(U261)),IF(M261&lt;U261,"실제 낙찰가 미만",IF(M261=U261,"실제 낙찰가 동액","실제 낙찰가 초과")),"")</f>
        <v/>
      </c>
      <c r="AB261" s="7">
        <f>IF(AND(ISNUMBER(M261),M261&gt;0,ISNUMBER(R261)),IF(M261&lt;R261,"상한가 미만",IF(M261=R261,"상한가 동액","상한가 초과")),"")</f>
        <v/>
      </c>
      <c r="AC261" s="3" t="n"/>
      <c r="AD261" s="7">
        <f>IF(COUNTA(A261:Q261,S261:V261,AC261)=0,"",IF(OR(A261="",B261="",C261="",NOT(ISNUMBER(G261))),"식별값 확인",IF(COUNTIFS(A$2:A$301,A261,B$2:B$301,B261,C$2:C$301,C261,G$2:G$301,G261)&gt;1,"중복 회차",IF(AND(ISNUMBER(K261),K261&gt;G261),"기일 후 예측",IF(AND(T261="낙찰",W261=""),"평가 입력 확인","")))))</f>
        <v/>
      </c>
    </row>
    <row r="262">
      <c r="A262" s="2" t="n"/>
      <c r="B262" s="2" t="n"/>
      <c r="C262" s="2" t="n"/>
      <c r="D262" s="2" t="n"/>
      <c r="E262" s="2" t="n"/>
      <c r="F262" s="2" t="n"/>
      <c r="G262" s="4" t="n"/>
      <c r="H262" s="5" t="n"/>
      <c r="I262" s="5" t="n"/>
      <c r="J262" s="2" t="n"/>
      <c r="K262" s="4" t="n"/>
      <c r="L262" s="5" t="n"/>
      <c r="M262" s="5" t="n"/>
      <c r="N262" s="2" t="n"/>
      <c r="O262" s="5" t="n"/>
      <c r="P262" s="5" t="n"/>
      <c r="Q262" s="5" t="n"/>
      <c r="R262" s="6">
        <f>IF(COUNT(O262:Q262)=3,O262-P262-Q262,"")</f>
        <v/>
      </c>
      <c r="S262" s="2" t="n"/>
      <c r="T262" s="2" t="n"/>
      <c r="U262" s="5" t="n"/>
      <c r="V262" s="2" t="n"/>
      <c r="W262" s="7">
        <f>IF(AND(A262&lt;&gt;"",B262&lt;&gt;"",C262&lt;&gt;"",ISNUMBER(G262),ISNUMBER(K262),K262&lt;=G262,K262&gt;0,T262="낙찰",ISNUMBER(L262),L262&gt;0,ISNUMBER(U262),U262&gt;0,COUNTIFS(A$2:A$301,A262,B$2:B$301,B262,C$2:C$301,C262,G$2:G$301,G262)=1),"평가 가능","")</f>
        <v/>
      </c>
      <c r="X262" s="8">
        <f>IF(W262="평가 가능",(L262-U262)/U262,"")</f>
        <v/>
      </c>
      <c r="Y262" s="8">
        <f>IF(W262="평가 가능",ABS(X262),"")</f>
        <v/>
      </c>
      <c r="Z262" s="7">
        <f>IF(AND(ISNUMBER(M262),M262&gt;0,ISNUMBER(I262)),IF(M262&lt;I262,"최저가 미달",IF(M262=I262,"최저가 동액","최저가 초과")),"")</f>
        <v/>
      </c>
      <c r="AA262" s="7">
        <f>IF(AND(T262="낙찰",ISNUMBER(M262),M262&gt;0,ISNUMBER(U262)),IF(M262&lt;U262,"실제 낙찰가 미만",IF(M262=U262,"실제 낙찰가 동액","실제 낙찰가 초과")),"")</f>
        <v/>
      </c>
      <c r="AB262" s="7">
        <f>IF(AND(ISNUMBER(M262),M262&gt;0,ISNUMBER(R262)),IF(M262&lt;R262,"상한가 미만",IF(M262=R262,"상한가 동액","상한가 초과")),"")</f>
        <v/>
      </c>
      <c r="AC262" s="2" t="n"/>
      <c r="AD262" s="7">
        <f>IF(COUNTA(A262:Q262,S262:V262,AC262)=0,"",IF(OR(A262="",B262="",C262="",NOT(ISNUMBER(G262))),"식별값 확인",IF(COUNTIFS(A$2:A$301,A262,B$2:B$301,B262,C$2:C$301,C262,G$2:G$301,G262)&gt;1,"중복 회차",IF(AND(ISNUMBER(K262),K262&gt;G262),"기일 후 예측",IF(AND(T262="낙찰",W262=""),"평가 입력 확인","")))))</f>
        <v/>
      </c>
    </row>
    <row r="263">
      <c r="A263" s="3" t="n"/>
      <c r="B263" s="3" t="n"/>
      <c r="C263" s="3" t="n"/>
      <c r="D263" s="3" t="n"/>
      <c r="E263" s="3" t="n"/>
      <c r="F263" s="3" t="n"/>
      <c r="G263" s="9" t="n"/>
      <c r="H263" s="10" t="n"/>
      <c r="I263" s="10" t="n"/>
      <c r="J263" s="3" t="n"/>
      <c r="K263" s="9" t="n"/>
      <c r="L263" s="10" t="n"/>
      <c r="M263" s="10" t="n"/>
      <c r="N263" s="3" t="n"/>
      <c r="O263" s="10" t="n"/>
      <c r="P263" s="10" t="n"/>
      <c r="Q263" s="10" t="n"/>
      <c r="R263" s="6">
        <f>IF(COUNT(O263:Q263)=3,O263-P263-Q263,"")</f>
        <v/>
      </c>
      <c r="S263" s="3" t="n"/>
      <c r="T263" s="3" t="n"/>
      <c r="U263" s="10" t="n"/>
      <c r="V263" s="3" t="n"/>
      <c r="W263" s="7">
        <f>IF(AND(A263&lt;&gt;"",B263&lt;&gt;"",C263&lt;&gt;"",ISNUMBER(G263),ISNUMBER(K263),K263&lt;=G263,K263&gt;0,T263="낙찰",ISNUMBER(L263),L263&gt;0,ISNUMBER(U263),U263&gt;0,COUNTIFS(A$2:A$301,A263,B$2:B$301,B263,C$2:C$301,C263,G$2:G$301,G263)=1),"평가 가능","")</f>
        <v/>
      </c>
      <c r="X263" s="8">
        <f>IF(W263="평가 가능",(L263-U263)/U263,"")</f>
        <v/>
      </c>
      <c r="Y263" s="8">
        <f>IF(W263="평가 가능",ABS(X263),"")</f>
        <v/>
      </c>
      <c r="Z263" s="7">
        <f>IF(AND(ISNUMBER(M263),M263&gt;0,ISNUMBER(I263)),IF(M263&lt;I263,"최저가 미달",IF(M263=I263,"최저가 동액","최저가 초과")),"")</f>
        <v/>
      </c>
      <c r="AA263" s="7">
        <f>IF(AND(T263="낙찰",ISNUMBER(M263),M263&gt;0,ISNUMBER(U263)),IF(M263&lt;U263,"실제 낙찰가 미만",IF(M263=U263,"실제 낙찰가 동액","실제 낙찰가 초과")),"")</f>
        <v/>
      </c>
      <c r="AB263" s="7">
        <f>IF(AND(ISNUMBER(M263),M263&gt;0,ISNUMBER(R263)),IF(M263&lt;R263,"상한가 미만",IF(M263=R263,"상한가 동액","상한가 초과")),"")</f>
        <v/>
      </c>
      <c r="AC263" s="3" t="n"/>
      <c r="AD263" s="7">
        <f>IF(COUNTA(A263:Q263,S263:V263,AC263)=0,"",IF(OR(A263="",B263="",C263="",NOT(ISNUMBER(G263))),"식별값 확인",IF(COUNTIFS(A$2:A$301,A263,B$2:B$301,B263,C$2:C$301,C263,G$2:G$301,G263)&gt;1,"중복 회차",IF(AND(ISNUMBER(K263),K263&gt;G263),"기일 후 예측",IF(AND(T263="낙찰",W263=""),"평가 입력 확인","")))))</f>
        <v/>
      </c>
    </row>
    <row r="264">
      <c r="A264" s="2" t="n"/>
      <c r="B264" s="2" t="n"/>
      <c r="C264" s="2" t="n"/>
      <c r="D264" s="2" t="n"/>
      <c r="E264" s="2" t="n"/>
      <c r="F264" s="2" t="n"/>
      <c r="G264" s="4" t="n"/>
      <c r="H264" s="5" t="n"/>
      <c r="I264" s="5" t="n"/>
      <c r="J264" s="2" t="n"/>
      <c r="K264" s="4" t="n"/>
      <c r="L264" s="5" t="n"/>
      <c r="M264" s="5" t="n"/>
      <c r="N264" s="2" t="n"/>
      <c r="O264" s="5" t="n"/>
      <c r="P264" s="5" t="n"/>
      <c r="Q264" s="5" t="n"/>
      <c r="R264" s="6">
        <f>IF(COUNT(O264:Q264)=3,O264-P264-Q264,"")</f>
        <v/>
      </c>
      <c r="S264" s="2" t="n"/>
      <c r="T264" s="2" t="n"/>
      <c r="U264" s="5" t="n"/>
      <c r="V264" s="2" t="n"/>
      <c r="W264" s="7">
        <f>IF(AND(A264&lt;&gt;"",B264&lt;&gt;"",C264&lt;&gt;"",ISNUMBER(G264),ISNUMBER(K264),K264&lt;=G264,K264&gt;0,T264="낙찰",ISNUMBER(L264),L264&gt;0,ISNUMBER(U264),U264&gt;0,COUNTIFS(A$2:A$301,A264,B$2:B$301,B264,C$2:C$301,C264,G$2:G$301,G264)=1),"평가 가능","")</f>
        <v/>
      </c>
      <c r="X264" s="8">
        <f>IF(W264="평가 가능",(L264-U264)/U264,"")</f>
        <v/>
      </c>
      <c r="Y264" s="8">
        <f>IF(W264="평가 가능",ABS(X264),"")</f>
        <v/>
      </c>
      <c r="Z264" s="7">
        <f>IF(AND(ISNUMBER(M264),M264&gt;0,ISNUMBER(I264)),IF(M264&lt;I264,"최저가 미달",IF(M264=I264,"최저가 동액","최저가 초과")),"")</f>
        <v/>
      </c>
      <c r="AA264" s="7">
        <f>IF(AND(T264="낙찰",ISNUMBER(M264),M264&gt;0,ISNUMBER(U264)),IF(M264&lt;U264,"실제 낙찰가 미만",IF(M264=U264,"실제 낙찰가 동액","실제 낙찰가 초과")),"")</f>
        <v/>
      </c>
      <c r="AB264" s="7">
        <f>IF(AND(ISNUMBER(M264),M264&gt;0,ISNUMBER(R264)),IF(M264&lt;R264,"상한가 미만",IF(M264=R264,"상한가 동액","상한가 초과")),"")</f>
        <v/>
      </c>
      <c r="AC264" s="2" t="n"/>
      <c r="AD264" s="7">
        <f>IF(COUNTA(A264:Q264,S264:V264,AC264)=0,"",IF(OR(A264="",B264="",C264="",NOT(ISNUMBER(G264))),"식별값 확인",IF(COUNTIFS(A$2:A$301,A264,B$2:B$301,B264,C$2:C$301,C264,G$2:G$301,G264)&gt;1,"중복 회차",IF(AND(ISNUMBER(K264),K264&gt;G264),"기일 후 예측",IF(AND(T264="낙찰",W264=""),"평가 입력 확인","")))))</f>
        <v/>
      </c>
    </row>
    <row r="265">
      <c r="A265" s="3" t="n"/>
      <c r="B265" s="3" t="n"/>
      <c r="C265" s="3" t="n"/>
      <c r="D265" s="3" t="n"/>
      <c r="E265" s="3" t="n"/>
      <c r="F265" s="3" t="n"/>
      <c r="G265" s="9" t="n"/>
      <c r="H265" s="10" t="n"/>
      <c r="I265" s="10" t="n"/>
      <c r="J265" s="3" t="n"/>
      <c r="K265" s="9" t="n"/>
      <c r="L265" s="10" t="n"/>
      <c r="M265" s="10" t="n"/>
      <c r="N265" s="3" t="n"/>
      <c r="O265" s="10" t="n"/>
      <c r="P265" s="10" t="n"/>
      <c r="Q265" s="10" t="n"/>
      <c r="R265" s="6">
        <f>IF(COUNT(O265:Q265)=3,O265-P265-Q265,"")</f>
        <v/>
      </c>
      <c r="S265" s="3" t="n"/>
      <c r="T265" s="3" t="n"/>
      <c r="U265" s="10" t="n"/>
      <c r="V265" s="3" t="n"/>
      <c r="W265" s="7">
        <f>IF(AND(A265&lt;&gt;"",B265&lt;&gt;"",C265&lt;&gt;"",ISNUMBER(G265),ISNUMBER(K265),K265&lt;=G265,K265&gt;0,T265="낙찰",ISNUMBER(L265),L265&gt;0,ISNUMBER(U265),U265&gt;0,COUNTIFS(A$2:A$301,A265,B$2:B$301,B265,C$2:C$301,C265,G$2:G$301,G265)=1),"평가 가능","")</f>
        <v/>
      </c>
      <c r="X265" s="8">
        <f>IF(W265="평가 가능",(L265-U265)/U265,"")</f>
        <v/>
      </c>
      <c r="Y265" s="8">
        <f>IF(W265="평가 가능",ABS(X265),"")</f>
        <v/>
      </c>
      <c r="Z265" s="7">
        <f>IF(AND(ISNUMBER(M265),M265&gt;0,ISNUMBER(I265)),IF(M265&lt;I265,"최저가 미달",IF(M265=I265,"최저가 동액","최저가 초과")),"")</f>
        <v/>
      </c>
      <c r="AA265" s="7">
        <f>IF(AND(T265="낙찰",ISNUMBER(M265),M265&gt;0,ISNUMBER(U265)),IF(M265&lt;U265,"실제 낙찰가 미만",IF(M265=U265,"실제 낙찰가 동액","실제 낙찰가 초과")),"")</f>
        <v/>
      </c>
      <c r="AB265" s="7">
        <f>IF(AND(ISNUMBER(M265),M265&gt;0,ISNUMBER(R265)),IF(M265&lt;R265,"상한가 미만",IF(M265=R265,"상한가 동액","상한가 초과")),"")</f>
        <v/>
      </c>
      <c r="AC265" s="3" t="n"/>
      <c r="AD265" s="7">
        <f>IF(COUNTA(A265:Q265,S265:V265,AC265)=0,"",IF(OR(A265="",B265="",C265="",NOT(ISNUMBER(G265))),"식별값 확인",IF(COUNTIFS(A$2:A$301,A265,B$2:B$301,B265,C$2:C$301,C265,G$2:G$301,G265)&gt;1,"중복 회차",IF(AND(ISNUMBER(K265),K265&gt;G265),"기일 후 예측",IF(AND(T265="낙찰",W265=""),"평가 입력 확인","")))))</f>
        <v/>
      </c>
    </row>
    <row r="266">
      <c r="A266" s="2" t="n"/>
      <c r="B266" s="2" t="n"/>
      <c r="C266" s="2" t="n"/>
      <c r="D266" s="2" t="n"/>
      <c r="E266" s="2" t="n"/>
      <c r="F266" s="2" t="n"/>
      <c r="G266" s="4" t="n"/>
      <c r="H266" s="5" t="n"/>
      <c r="I266" s="5" t="n"/>
      <c r="J266" s="2" t="n"/>
      <c r="K266" s="4" t="n"/>
      <c r="L266" s="5" t="n"/>
      <c r="M266" s="5" t="n"/>
      <c r="N266" s="2" t="n"/>
      <c r="O266" s="5" t="n"/>
      <c r="P266" s="5" t="n"/>
      <c r="Q266" s="5" t="n"/>
      <c r="R266" s="6">
        <f>IF(COUNT(O266:Q266)=3,O266-P266-Q266,"")</f>
        <v/>
      </c>
      <c r="S266" s="2" t="n"/>
      <c r="T266" s="2" t="n"/>
      <c r="U266" s="5" t="n"/>
      <c r="V266" s="2" t="n"/>
      <c r="W266" s="7">
        <f>IF(AND(A266&lt;&gt;"",B266&lt;&gt;"",C266&lt;&gt;"",ISNUMBER(G266),ISNUMBER(K266),K266&lt;=G266,K266&gt;0,T266="낙찰",ISNUMBER(L266),L266&gt;0,ISNUMBER(U266),U266&gt;0,COUNTIFS(A$2:A$301,A266,B$2:B$301,B266,C$2:C$301,C266,G$2:G$301,G266)=1),"평가 가능","")</f>
        <v/>
      </c>
      <c r="X266" s="8">
        <f>IF(W266="평가 가능",(L266-U266)/U266,"")</f>
        <v/>
      </c>
      <c r="Y266" s="8">
        <f>IF(W266="평가 가능",ABS(X266),"")</f>
        <v/>
      </c>
      <c r="Z266" s="7">
        <f>IF(AND(ISNUMBER(M266),M266&gt;0,ISNUMBER(I266)),IF(M266&lt;I266,"최저가 미달",IF(M266=I266,"최저가 동액","최저가 초과")),"")</f>
        <v/>
      </c>
      <c r="AA266" s="7">
        <f>IF(AND(T266="낙찰",ISNUMBER(M266),M266&gt;0,ISNUMBER(U266)),IF(M266&lt;U266,"실제 낙찰가 미만",IF(M266=U266,"실제 낙찰가 동액","실제 낙찰가 초과")),"")</f>
        <v/>
      </c>
      <c r="AB266" s="7">
        <f>IF(AND(ISNUMBER(M266),M266&gt;0,ISNUMBER(R266)),IF(M266&lt;R266,"상한가 미만",IF(M266=R266,"상한가 동액","상한가 초과")),"")</f>
        <v/>
      </c>
      <c r="AC266" s="2" t="n"/>
      <c r="AD266" s="7">
        <f>IF(COUNTA(A266:Q266,S266:V266,AC266)=0,"",IF(OR(A266="",B266="",C266="",NOT(ISNUMBER(G266))),"식별값 확인",IF(COUNTIFS(A$2:A$301,A266,B$2:B$301,B266,C$2:C$301,C266,G$2:G$301,G266)&gt;1,"중복 회차",IF(AND(ISNUMBER(K266),K266&gt;G266),"기일 후 예측",IF(AND(T266="낙찰",W266=""),"평가 입력 확인","")))))</f>
        <v/>
      </c>
    </row>
    <row r="267">
      <c r="A267" s="3" t="n"/>
      <c r="B267" s="3" t="n"/>
      <c r="C267" s="3" t="n"/>
      <c r="D267" s="3" t="n"/>
      <c r="E267" s="3" t="n"/>
      <c r="F267" s="3" t="n"/>
      <c r="G267" s="9" t="n"/>
      <c r="H267" s="10" t="n"/>
      <c r="I267" s="10" t="n"/>
      <c r="J267" s="3" t="n"/>
      <c r="K267" s="9" t="n"/>
      <c r="L267" s="10" t="n"/>
      <c r="M267" s="10" t="n"/>
      <c r="N267" s="3" t="n"/>
      <c r="O267" s="10" t="n"/>
      <c r="P267" s="10" t="n"/>
      <c r="Q267" s="10" t="n"/>
      <c r="R267" s="6">
        <f>IF(COUNT(O267:Q267)=3,O267-P267-Q267,"")</f>
        <v/>
      </c>
      <c r="S267" s="3" t="n"/>
      <c r="T267" s="3" t="n"/>
      <c r="U267" s="10" t="n"/>
      <c r="V267" s="3" t="n"/>
      <c r="W267" s="7">
        <f>IF(AND(A267&lt;&gt;"",B267&lt;&gt;"",C267&lt;&gt;"",ISNUMBER(G267),ISNUMBER(K267),K267&lt;=G267,K267&gt;0,T267="낙찰",ISNUMBER(L267),L267&gt;0,ISNUMBER(U267),U267&gt;0,COUNTIFS(A$2:A$301,A267,B$2:B$301,B267,C$2:C$301,C267,G$2:G$301,G267)=1),"평가 가능","")</f>
        <v/>
      </c>
      <c r="X267" s="8">
        <f>IF(W267="평가 가능",(L267-U267)/U267,"")</f>
        <v/>
      </c>
      <c r="Y267" s="8">
        <f>IF(W267="평가 가능",ABS(X267),"")</f>
        <v/>
      </c>
      <c r="Z267" s="7">
        <f>IF(AND(ISNUMBER(M267),M267&gt;0,ISNUMBER(I267)),IF(M267&lt;I267,"최저가 미달",IF(M267=I267,"최저가 동액","최저가 초과")),"")</f>
        <v/>
      </c>
      <c r="AA267" s="7">
        <f>IF(AND(T267="낙찰",ISNUMBER(M267),M267&gt;0,ISNUMBER(U267)),IF(M267&lt;U267,"실제 낙찰가 미만",IF(M267=U267,"실제 낙찰가 동액","실제 낙찰가 초과")),"")</f>
        <v/>
      </c>
      <c r="AB267" s="7">
        <f>IF(AND(ISNUMBER(M267),M267&gt;0,ISNUMBER(R267)),IF(M267&lt;R267,"상한가 미만",IF(M267=R267,"상한가 동액","상한가 초과")),"")</f>
        <v/>
      </c>
      <c r="AC267" s="3" t="n"/>
      <c r="AD267" s="7">
        <f>IF(COUNTA(A267:Q267,S267:V267,AC267)=0,"",IF(OR(A267="",B267="",C267="",NOT(ISNUMBER(G267))),"식별값 확인",IF(COUNTIFS(A$2:A$301,A267,B$2:B$301,B267,C$2:C$301,C267,G$2:G$301,G267)&gt;1,"중복 회차",IF(AND(ISNUMBER(K267),K267&gt;G267),"기일 후 예측",IF(AND(T267="낙찰",W267=""),"평가 입력 확인","")))))</f>
        <v/>
      </c>
    </row>
    <row r="268">
      <c r="A268" s="2" t="n"/>
      <c r="B268" s="2" t="n"/>
      <c r="C268" s="2" t="n"/>
      <c r="D268" s="2" t="n"/>
      <c r="E268" s="2" t="n"/>
      <c r="F268" s="2" t="n"/>
      <c r="G268" s="4" t="n"/>
      <c r="H268" s="5" t="n"/>
      <c r="I268" s="5" t="n"/>
      <c r="J268" s="2" t="n"/>
      <c r="K268" s="4" t="n"/>
      <c r="L268" s="5" t="n"/>
      <c r="M268" s="5" t="n"/>
      <c r="N268" s="2" t="n"/>
      <c r="O268" s="5" t="n"/>
      <c r="P268" s="5" t="n"/>
      <c r="Q268" s="5" t="n"/>
      <c r="R268" s="6">
        <f>IF(COUNT(O268:Q268)=3,O268-P268-Q268,"")</f>
        <v/>
      </c>
      <c r="S268" s="2" t="n"/>
      <c r="T268" s="2" t="n"/>
      <c r="U268" s="5" t="n"/>
      <c r="V268" s="2" t="n"/>
      <c r="W268" s="7">
        <f>IF(AND(A268&lt;&gt;"",B268&lt;&gt;"",C268&lt;&gt;"",ISNUMBER(G268),ISNUMBER(K268),K268&lt;=G268,K268&gt;0,T268="낙찰",ISNUMBER(L268),L268&gt;0,ISNUMBER(U268),U268&gt;0,COUNTIFS(A$2:A$301,A268,B$2:B$301,B268,C$2:C$301,C268,G$2:G$301,G268)=1),"평가 가능","")</f>
        <v/>
      </c>
      <c r="X268" s="8">
        <f>IF(W268="평가 가능",(L268-U268)/U268,"")</f>
        <v/>
      </c>
      <c r="Y268" s="8">
        <f>IF(W268="평가 가능",ABS(X268),"")</f>
        <v/>
      </c>
      <c r="Z268" s="7">
        <f>IF(AND(ISNUMBER(M268),M268&gt;0,ISNUMBER(I268)),IF(M268&lt;I268,"최저가 미달",IF(M268=I268,"최저가 동액","최저가 초과")),"")</f>
        <v/>
      </c>
      <c r="AA268" s="7">
        <f>IF(AND(T268="낙찰",ISNUMBER(M268),M268&gt;0,ISNUMBER(U268)),IF(M268&lt;U268,"실제 낙찰가 미만",IF(M268=U268,"실제 낙찰가 동액","실제 낙찰가 초과")),"")</f>
        <v/>
      </c>
      <c r="AB268" s="7">
        <f>IF(AND(ISNUMBER(M268),M268&gt;0,ISNUMBER(R268)),IF(M268&lt;R268,"상한가 미만",IF(M268=R268,"상한가 동액","상한가 초과")),"")</f>
        <v/>
      </c>
      <c r="AC268" s="2" t="n"/>
      <c r="AD268" s="7">
        <f>IF(COUNTA(A268:Q268,S268:V268,AC268)=0,"",IF(OR(A268="",B268="",C268="",NOT(ISNUMBER(G268))),"식별값 확인",IF(COUNTIFS(A$2:A$301,A268,B$2:B$301,B268,C$2:C$301,C268,G$2:G$301,G268)&gt;1,"중복 회차",IF(AND(ISNUMBER(K268),K268&gt;G268),"기일 후 예측",IF(AND(T268="낙찰",W268=""),"평가 입력 확인","")))))</f>
        <v/>
      </c>
    </row>
    <row r="269">
      <c r="A269" s="3" t="n"/>
      <c r="B269" s="3" t="n"/>
      <c r="C269" s="3" t="n"/>
      <c r="D269" s="3" t="n"/>
      <c r="E269" s="3" t="n"/>
      <c r="F269" s="3" t="n"/>
      <c r="G269" s="9" t="n"/>
      <c r="H269" s="10" t="n"/>
      <c r="I269" s="10" t="n"/>
      <c r="J269" s="3" t="n"/>
      <c r="K269" s="9" t="n"/>
      <c r="L269" s="10" t="n"/>
      <c r="M269" s="10" t="n"/>
      <c r="N269" s="3" t="n"/>
      <c r="O269" s="10" t="n"/>
      <c r="P269" s="10" t="n"/>
      <c r="Q269" s="10" t="n"/>
      <c r="R269" s="6">
        <f>IF(COUNT(O269:Q269)=3,O269-P269-Q269,"")</f>
        <v/>
      </c>
      <c r="S269" s="3" t="n"/>
      <c r="T269" s="3" t="n"/>
      <c r="U269" s="10" t="n"/>
      <c r="V269" s="3" t="n"/>
      <c r="W269" s="7">
        <f>IF(AND(A269&lt;&gt;"",B269&lt;&gt;"",C269&lt;&gt;"",ISNUMBER(G269),ISNUMBER(K269),K269&lt;=G269,K269&gt;0,T269="낙찰",ISNUMBER(L269),L269&gt;0,ISNUMBER(U269),U269&gt;0,COUNTIFS(A$2:A$301,A269,B$2:B$301,B269,C$2:C$301,C269,G$2:G$301,G269)=1),"평가 가능","")</f>
        <v/>
      </c>
      <c r="X269" s="8">
        <f>IF(W269="평가 가능",(L269-U269)/U269,"")</f>
        <v/>
      </c>
      <c r="Y269" s="8">
        <f>IF(W269="평가 가능",ABS(X269),"")</f>
        <v/>
      </c>
      <c r="Z269" s="7">
        <f>IF(AND(ISNUMBER(M269),M269&gt;0,ISNUMBER(I269)),IF(M269&lt;I269,"최저가 미달",IF(M269=I269,"최저가 동액","최저가 초과")),"")</f>
        <v/>
      </c>
      <c r="AA269" s="7">
        <f>IF(AND(T269="낙찰",ISNUMBER(M269),M269&gt;0,ISNUMBER(U269)),IF(M269&lt;U269,"실제 낙찰가 미만",IF(M269=U269,"실제 낙찰가 동액","실제 낙찰가 초과")),"")</f>
        <v/>
      </c>
      <c r="AB269" s="7">
        <f>IF(AND(ISNUMBER(M269),M269&gt;0,ISNUMBER(R269)),IF(M269&lt;R269,"상한가 미만",IF(M269=R269,"상한가 동액","상한가 초과")),"")</f>
        <v/>
      </c>
      <c r="AC269" s="3" t="n"/>
      <c r="AD269" s="7">
        <f>IF(COUNTA(A269:Q269,S269:V269,AC269)=0,"",IF(OR(A269="",B269="",C269="",NOT(ISNUMBER(G269))),"식별값 확인",IF(COUNTIFS(A$2:A$301,A269,B$2:B$301,B269,C$2:C$301,C269,G$2:G$301,G269)&gt;1,"중복 회차",IF(AND(ISNUMBER(K269),K269&gt;G269),"기일 후 예측",IF(AND(T269="낙찰",W269=""),"평가 입력 확인","")))))</f>
        <v/>
      </c>
    </row>
    <row r="270">
      <c r="A270" s="2" t="n"/>
      <c r="B270" s="2" t="n"/>
      <c r="C270" s="2" t="n"/>
      <c r="D270" s="2" t="n"/>
      <c r="E270" s="2" t="n"/>
      <c r="F270" s="2" t="n"/>
      <c r="G270" s="4" t="n"/>
      <c r="H270" s="5" t="n"/>
      <c r="I270" s="5" t="n"/>
      <c r="J270" s="2" t="n"/>
      <c r="K270" s="4" t="n"/>
      <c r="L270" s="5" t="n"/>
      <c r="M270" s="5" t="n"/>
      <c r="N270" s="2" t="n"/>
      <c r="O270" s="5" t="n"/>
      <c r="P270" s="5" t="n"/>
      <c r="Q270" s="5" t="n"/>
      <c r="R270" s="6">
        <f>IF(COUNT(O270:Q270)=3,O270-P270-Q270,"")</f>
        <v/>
      </c>
      <c r="S270" s="2" t="n"/>
      <c r="T270" s="2" t="n"/>
      <c r="U270" s="5" t="n"/>
      <c r="V270" s="2" t="n"/>
      <c r="W270" s="7">
        <f>IF(AND(A270&lt;&gt;"",B270&lt;&gt;"",C270&lt;&gt;"",ISNUMBER(G270),ISNUMBER(K270),K270&lt;=G270,K270&gt;0,T270="낙찰",ISNUMBER(L270),L270&gt;0,ISNUMBER(U270),U270&gt;0,COUNTIFS(A$2:A$301,A270,B$2:B$301,B270,C$2:C$301,C270,G$2:G$301,G270)=1),"평가 가능","")</f>
        <v/>
      </c>
      <c r="X270" s="8">
        <f>IF(W270="평가 가능",(L270-U270)/U270,"")</f>
        <v/>
      </c>
      <c r="Y270" s="8">
        <f>IF(W270="평가 가능",ABS(X270),"")</f>
        <v/>
      </c>
      <c r="Z270" s="7">
        <f>IF(AND(ISNUMBER(M270),M270&gt;0,ISNUMBER(I270)),IF(M270&lt;I270,"최저가 미달",IF(M270=I270,"최저가 동액","최저가 초과")),"")</f>
        <v/>
      </c>
      <c r="AA270" s="7">
        <f>IF(AND(T270="낙찰",ISNUMBER(M270),M270&gt;0,ISNUMBER(U270)),IF(M270&lt;U270,"실제 낙찰가 미만",IF(M270=U270,"실제 낙찰가 동액","실제 낙찰가 초과")),"")</f>
        <v/>
      </c>
      <c r="AB270" s="7">
        <f>IF(AND(ISNUMBER(M270),M270&gt;0,ISNUMBER(R270)),IF(M270&lt;R270,"상한가 미만",IF(M270=R270,"상한가 동액","상한가 초과")),"")</f>
        <v/>
      </c>
      <c r="AC270" s="2" t="n"/>
      <c r="AD270" s="7">
        <f>IF(COUNTA(A270:Q270,S270:V270,AC270)=0,"",IF(OR(A270="",B270="",C270="",NOT(ISNUMBER(G270))),"식별값 확인",IF(COUNTIFS(A$2:A$301,A270,B$2:B$301,B270,C$2:C$301,C270,G$2:G$301,G270)&gt;1,"중복 회차",IF(AND(ISNUMBER(K270),K270&gt;G270),"기일 후 예측",IF(AND(T270="낙찰",W270=""),"평가 입력 확인","")))))</f>
        <v/>
      </c>
    </row>
    <row r="271">
      <c r="A271" s="3" t="n"/>
      <c r="B271" s="3" t="n"/>
      <c r="C271" s="3" t="n"/>
      <c r="D271" s="3" t="n"/>
      <c r="E271" s="3" t="n"/>
      <c r="F271" s="3" t="n"/>
      <c r="G271" s="9" t="n"/>
      <c r="H271" s="10" t="n"/>
      <c r="I271" s="10" t="n"/>
      <c r="J271" s="3" t="n"/>
      <c r="K271" s="9" t="n"/>
      <c r="L271" s="10" t="n"/>
      <c r="M271" s="10" t="n"/>
      <c r="N271" s="3" t="n"/>
      <c r="O271" s="10" t="n"/>
      <c r="P271" s="10" t="n"/>
      <c r="Q271" s="10" t="n"/>
      <c r="R271" s="6">
        <f>IF(COUNT(O271:Q271)=3,O271-P271-Q271,"")</f>
        <v/>
      </c>
      <c r="S271" s="3" t="n"/>
      <c r="T271" s="3" t="n"/>
      <c r="U271" s="10" t="n"/>
      <c r="V271" s="3" t="n"/>
      <c r="W271" s="7">
        <f>IF(AND(A271&lt;&gt;"",B271&lt;&gt;"",C271&lt;&gt;"",ISNUMBER(G271),ISNUMBER(K271),K271&lt;=G271,K271&gt;0,T271="낙찰",ISNUMBER(L271),L271&gt;0,ISNUMBER(U271),U271&gt;0,COUNTIFS(A$2:A$301,A271,B$2:B$301,B271,C$2:C$301,C271,G$2:G$301,G271)=1),"평가 가능","")</f>
        <v/>
      </c>
      <c r="X271" s="8">
        <f>IF(W271="평가 가능",(L271-U271)/U271,"")</f>
        <v/>
      </c>
      <c r="Y271" s="8">
        <f>IF(W271="평가 가능",ABS(X271),"")</f>
        <v/>
      </c>
      <c r="Z271" s="7">
        <f>IF(AND(ISNUMBER(M271),M271&gt;0,ISNUMBER(I271)),IF(M271&lt;I271,"최저가 미달",IF(M271=I271,"최저가 동액","최저가 초과")),"")</f>
        <v/>
      </c>
      <c r="AA271" s="7">
        <f>IF(AND(T271="낙찰",ISNUMBER(M271),M271&gt;0,ISNUMBER(U271)),IF(M271&lt;U271,"실제 낙찰가 미만",IF(M271=U271,"실제 낙찰가 동액","실제 낙찰가 초과")),"")</f>
        <v/>
      </c>
      <c r="AB271" s="7">
        <f>IF(AND(ISNUMBER(M271),M271&gt;0,ISNUMBER(R271)),IF(M271&lt;R271,"상한가 미만",IF(M271=R271,"상한가 동액","상한가 초과")),"")</f>
        <v/>
      </c>
      <c r="AC271" s="3" t="n"/>
      <c r="AD271" s="7">
        <f>IF(COUNTA(A271:Q271,S271:V271,AC271)=0,"",IF(OR(A271="",B271="",C271="",NOT(ISNUMBER(G271))),"식별값 확인",IF(COUNTIFS(A$2:A$301,A271,B$2:B$301,B271,C$2:C$301,C271,G$2:G$301,G271)&gt;1,"중복 회차",IF(AND(ISNUMBER(K271),K271&gt;G271),"기일 후 예측",IF(AND(T271="낙찰",W271=""),"평가 입력 확인","")))))</f>
        <v/>
      </c>
    </row>
    <row r="272">
      <c r="A272" s="2" t="n"/>
      <c r="B272" s="2" t="n"/>
      <c r="C272" s="2" t="n"/>
      <c r="D272" s="2" t="n"/>
      <c r="E272" s="2" t="n"/>
      <c r="F272" s="2" t="n"/>
      <c r="G272" s="4" t="n"/>
      <c r="H272" s="5" t="n"/>
      <c r="I272" s="5" t="n"/>
      <c r="J272" s="2" t="n"/>
      <c r="K272" s="4" t="n"/>
      <c r="L272" s="5" t="n"/>
      <c r="M272" s="5" t="n"/>
      <c r="N272" s="2" t="n"/>
      <c r="O272" s="5" t="n"/>
      <c r="P272" s="5" t="n"/>
      <c r="Q272" s="5" t="n"/>
      <c r="R272" s="6">
        <f>IF(COUNT(O272:Q272)=3,O272-P272-Q272,"")</f>
        <v/>
      </c>
      <c r="S272" s="2" t="n"/>
      <c r="T272" s="2" t="n"/>
      <c r="U272" s="5" t="n"/>
      <c r="V272" s="2" t="n"/>
      <c r="W272" s="7">
        <f>IF(AND(A272&lt;&gt;"",B272&lt;&gt;"",C272&lt;&gt;"",ISNUMBER(G272),ISNUMBER(K272),K272&lt;=G272,K272&gt;0,T272="낙찰",ISNUMBER(L272),L272&gt;0,ISNUMBER(U272),U272&gt;0,COUNTIFS(A$2:A$301,A272,B$2:B$301,B272,C$2:C$301,C272,G$2:G$301,G272)=1),"평가 가능","")</f>
        <v/>
      </c>
      <c r="X272" s="8">
        <f>IF(W272="평가 가능",(L272-U272)/U272,"")</f>
        <v/>
      </c>
      <c r="Y272" s="8">
        <f>IF(W272="평가 가능",ABS(X272),"")</f>
        <v/>
      </c>
      <c r="Z272" s="7">
        <f>IF(AND(ISNUMBER(M272),M272&gt;0,ISNUMBER(I272)),IF(M272&lt;I272,"최저가 미달",IF(M272=I272,"최저가 동액","최저가 초과")),"")</f>
        <v/>
      </c>
      <c r="AA272" s="7">
        <f>IF(AND(T272="낙찰",ISNUMBER(M272),M272&gt;0,ISNUMBER(U272)),IF(M272&lt;U272,"실제 낙찰가 미만",IF(M272=U272,"실제 낙찰가 동액","실제 낙찰가 초과")),"")</f>
        <v/>
      </c>
      <c r="AB272" s="7">
        <f>IF(AND(ISNUMBER(M272),M272&gt;0,ISNUMBER(R272)),IF(M272&lt;R272,"상한가 미만",IF(M272=R272,"상한가 동액","상한가 초과")),"")</f>
        <v/>
      </c>
      <c r="AC272" s="2" t="n"/>
      <c r="AD272" s="7">
        <f>IF(COUNTA(A272:Q272,S272:V272,AC272)=0,"",IF(OR(A272="",B272="",C272="",NOT(ISNUMBER(G272))),"식별값 확인",IF(COUNTIFS(A$2:A$301,A272,B$2:B$301,B272,C$2:C$301,C272,G$2:G$301,G272)&gt;1,"중복 회차",IF(AND(ISNUMBER(K272),K272&gt;G272),"기일 후 예측",IF(AND(T272="낙찰",W272=""),"평가 입력 확인","")))))</f>
        <v/>
      </c>
    </row>
    <row r="273">
      <c r="A273" s="3" t="n"/>
      <c r="B273" s="3" t="n"/>
      <c r="C273" s="3" t="n"/>
      <c r="D273" s="3" t="n"/>
      <c r="E273" s="3" t="n"/>
      <c r="F273" s="3" t="n"/>
      <c r="G273" s="9" t="n"/>
      <c r="H273" s="10" t="n"/>
      <c r="I273" s="10" t="n"/>
      <c r="J273" s="3" t="n"/>
      <c r="K273" s="9" t="n"/>
      <c r="L273" s="10" t="n"/>
      <c r="M273" s="10" t="n"/>
      <c r="N273" s="3" t="n"/>
      <c r="O273" s="10" t="n"/>
      <c r="P273" s="10" t="n"/>
      <c r="Q273" s="10" t="n"/>
      <c r="R273" s="6">
        <f>IF(COUNT(O273:Q273)=3,O273-P273-Q273,"")</f>
        <v/>
      </c>
      <c r="S273" s="3" t="n"/>
      <c r="T273" s="3" t="n"/>
      <c r="U273" s="10" t="n"/>
      <c r="V273" s="3" t="n"/>
      <c r="W273" s="7">
        <f>IF(AND(A273&lt;&gt;"",B273&lt;&gt;"",C273&lt;&gt;"",ISNUMBER(G273),ISNUMBER(K273),K273&lt;=G273,K273&gt;0,T273="낙찰",ISNUMBER(L273),L273&gt;0,ISNUMBER(U273),U273&gt;0,COUNTIFS(A$2:A$301,A273,B$2:B$301,B273,C$2:C$301,C273,G$2:G$301,G273)=1),"평가 가능","")</f>
        <v/>
      </c>
      <c r="X273" s="8">
        <f>IF(W273="평가 가능",(L273-U273)/U273,"")</f>
        <v/>
      </c>
      <c r="Y273" s="8">
        <f>IF(W273="평가 가능",ABS(X273),"")</f>
        <v/>
      </c>
      <c r="Z273" s="7">
        <f>IF(AND(ISNUMBER(M273),M273&gt;0,ISNUMBER(I273)),IF(M273&lt;I273,"최저가 미달",IF(M273=I273,"최저가 동액","최저가 초과")),"")</f>
        <v/>
      </c>
      <c r="AA273" s="7">
        <f>IF(AND(T273="낙찰",ISNUMBER(M273),M273&gt;0,ISNUMBER(U273)),IF(M273&lt;U273,"실제 낙찰가 미만",IF(M273=U273,"실제 낙찰가 동액","실제 낙찰가 초과")),"")</f>
        <v/>
      </c>
      <c r="AB273" s="7">
        <f>IF(AND(ISNUMBER(M273),M273&gt;0,ISNUMBER(R273)),IF(M273&lt;R273,"상한가 미만",IF(M273=R273,"상한가 동액","상한가 초과")),"")</f>
        <v/>
      </c>
      <c r="AC273" s="3" t="n"/>
      <c r="AD273" s="7">
        <f>IF(COUNTA(A273:Q273,S273:V273,AC273)=0,"",IF(OR(A273="",B273="",C273="",NOT(ISNUMBER(G273))),"식별값 확인",IF(COUNTIFS(A$2:A$301,A273,B$2:B$301,B273,C$2:C$301,C273,G$2:G$301,G273)&gt;1,"중복 회차",IF(AND(ISNUMBER(K273),K273&gt;G273),"기일 후 예측",IF(AND(T273="낙찰",W273=""),"평가 입력 확인","")))))</f>
        <v/>
      </c>
    </row>
    <row r="274">
      <c r="A274" s="2" t="n"/>
      <c r="B274" s="2" t="n"/>
      <c r="C274" s="2" t="n"/>
      <c r="D274" s="2" t="n"/>
      <c r="E274" s="2" t="n"/>
      <c r="F274" s="2" t="n"/>
      <c r="G274" s="4" t="n"/>
      <c r="H274" s="5" t="n"/>
      <c r="I274" s="5" t="n"/>
      <c r="J274" s="2" t="n"/>
      <c r="K274" s="4" t="n"/>
      <c r="L274" s="5" t="n"/>
      <c r="M274" s="5" t="n"/>
      <c r="N274" s="2" t="n"/>
      <c r="O274" s="5" t="n"/>
      <c r="P274" s="5" t="n"/>
      <c r="Q274" s="5" t="n"/>
      <c r="R274" s="6">
        <f>IF(COUNT(O274:Q274)=3,O274-P274-Q274,"")</f>
        <v/>
      </c>
      <c r="S274" s="2" t="n"/>
      <c r="T274" s="2" t="n"/>
      <c r="U274" s="5" t="n"/>
      <c r="V274" s="2" t="n"/>
      <c r="W274" s="7">
        <f>IF(AND(A274&lt;&gt;"",B274&lt;&gt;"",C274&lt;&gt;"",ISNUMBER(G274),ISNUMBER(K274),K274&lt;=G274,K274&gt;0,T274="낙찰",ISNUMBER(L274),L274&gt;0,ISNUMBER(U274),U274&gt;0,COUNTIFS(A$2:A$301,A274,B$2:B$301,B274,C$2:C$301,C274,G$2:G$301,G274)=1),"평가 가능","")</f>
        <v/>
      </c>
      <c r="X274" s="8">
        <f>IF(W274="평가 가능",(L274-U274)/U274,"")</f>
        <v/>
      </c>
      <c r="Y274" s="8">
        <f>IF(W274="평가 가능",ABS(X274),"")</f>
        <v/>
      </c>
      <c r="Z274" s="7">
        <f>IF(AND(ISNUMBER(M274),M274&gt;0,ISNUMBER(I274)),IF(M274&lt;I274,"최저가 미달",IF(M274=I274,"최저가 동액","최저가 초과")),"")</f>
        <v/>
      </c>
      <c r="AA274" s="7">
        <f>IF(AND(T274="낙찰",ISNUMBER(M274),M274&gt;0,ISNUMBER(U274)),IF(M274&lt;U274,"실제 낙찰가 미만",IF(M274=U274,"실제 낙찰가 동액","실제 낙찰가 초과")),"")</f>
        <v/>
      </c>
      <c r="AB274" s="7">
        <f>IF(AND(ISNUMBER(M274),M274&gt;0,ISNUMBER(R274)),IF(M274&lt;R274,"상한가 미만",IF(M274=R274,"상한가 동액","상한가 초과")),"")</f>
        <v/>
      </c>
      <c r="AC274" s="2" t="n"/>
      <c r="AD274" s="7">
        <f>IF(COUNTA(A274:Q274,S274:V274,AC274)=0,"",IF(OR(A274="",B274="",C274="",NOT(ISNUMBER(G274))),"식별값 확인",IF(COUNTIFS(A$2:A$301,A274,B$2:B$301,B274,C$2:C$301,C274,G$2:G$301,G274)&gt;1,"중복 회차",IF(AND(ISNUMBER(K274),K274&gt;G274),"기일 후 예측",IF(AND(T274="낙찰",W274=""),"평가 입력 확인","")))))</f>
        <v/>
      </c>
    </row>
    <row r="275">
      <c r="A275" s="3" t="n"/>
      <c r="B275" s="3" t="n"/>
      <c r="C275" s="3" t="n"/>
      <c r="D275" s="3" t="n"/>
      <c r="E275" s="3" t="n"/>
      <c r="F275" s="3" t="n"/>
      <c r="G275" s="9" t="n"/>
      <c r="H275" s="10" t="n"/>
      <c r="I275" s="10" t="n"/>
      <c r="J275" s="3" t="n"/>
      <c r="K275" s="9" t="n"/>
      <c r="L275" s="10" t="n"/>
      <c r="M275" s="10" t="n"/>
      <c r="N275" s="3" t="n"/>
      <c r="O275" s="10" t="n"/>
      <c r="P275" s="10" t="n"/>
      <c r="Q275" s="10" t="n"/>
      <c r="R275" s="6">
        <f>IF(COUNT(O275:Q275)=3,O275-P275-Q275,"")</f>
        <v/>
      </c>
      <c r="S275" s="3" t="n"/>
      <c r="T275" s="3" t="n"/>
      <c r="U275" s="10" t="n"/>
      <c r="V275" s="3" t="n"/>
      <c r="W275" s="7">
        <f>IF(AND(A275&lt;&gt;"",B275&lt;&gt;"",C275&lt;&gt;"",ISNUMBER(G275),ISNUMBER(K275),K275&lt;=G275,K275&gt;0,T275="낙찰",ISNUMBER(L275),L275&gt;0,ISNUMBER(U275),U275&gt;0,COUNTIFS(A$2:A$301,A275,B$2:B$301,B275,C$2:C$301,C275,G$2:G$301,G275)=1),"평가 가능","")</f>
        <v/>
      </c>
      <c r="X275" s="8">
        <f>IF(W275="평가 가능",(L275-U275)/U275,"")</f>
        <v/>
      </c>
      <c r="Y275" s="8">
        <f>IF(W275="평가 가능",ABS(X275),"")</f>
        <v/>
      </c>
      <c r="Z275" s="7">
        <f>IF(AND(ISNUMBER(M275),M275&gt;0,ISNUMBER(I275)),IF(M275&lt;I275,"최저가 미달",IF(M275=I275,"최저가 동액","최저가 초과")),"")</f>
        <v/>
      </c>
      <c r="AA275" s="7">
        <f>IF(AND(T275="낙찰",ISNUMBER(M275),M275&gt;0,ISNUMBER(U275)),IF(M275&lt;U275,"실제 낙찰가 미만",IF(M275=U275,"실제 낙찰가 동액","실제 낙찰가 초과")),"")</f>
        <v/>
      </c>
      <c r="AB275" s="7">
        <f>IF(AND(ISNUMBER(M275),M275&gt;0,ISNUMBER(R275)),IF(M275&lt;R275,"상한가 미만",IF(M275=R275,"상한가 동액","상한가 초과")),"")</f>
        <v/>
      </c>
      <c r="AC275" s="3" t="n"/>
      <c r="AD275" s="7">
        <f>IF(COUNTA(A275:Q275,S275:V275,AC275)=0,"",IF(OR(A275="",B275="",C275="",NOT(ISNUMBER(G275))),"식별값 확인",IF(COUNTIFS(A$2:A$301,A275,B$2:B$301,B275,C$2:C$301,C275,G$2:G$301,G275)&gt;1,"중복 회차",IF(AND(ISNUMBER(K275),K275&gt;G275),"기일 후 예측",IF(AND(T275="낙찰",W275=""),"평가 입력 확인","")))))</f>
        <v/>
      </c>
    </row>
    <row r="276">
      <c r="A276" s="2" t="n"/>
      <c r="B276" s="2" t="n"/>
      <c r="C276" s="2" t="n"/>
      <c r="D276" s="2" t="n"/>
      <c r="E276" s="2" t="n"/>
      <c r="F276" s="2" t="n"/>
      <c r="G276" s="4" t="n"/>
      <c r="H276" s="5" t="n"/>
      <c r="I276" s="5" t="n"/>
      <c r="J276" s="2" t="n"/>
      <c r="K276" s="4" t="n"/>
      <c r="L276" s="5" t="n"/>
      <c r="M276" s="5" t="n"/>
      <c r="N276" s="2" t="n"/>
      <c r="O276" s="5" t="n"/>
      <c r="P276" s="5" t="n"/>
      <c r="Q276" s="5" t="n"/>
      <c r="R276" s="6">
        <f>IF(COUNT(O276:Q276)=3,O276-P276-Q276,"")</f>
        <v/>
      </c>
      <c r="S276" s="2" t="n"/>
      <c r="T276" s="2" t="n"/>
      <c r="U276" s="5" t="n"/>
      <c r="V276" s="2" t="n"/>
      <c r="W276" s="7">
        <f>IF(AND(A276&lt;&gt;"",B276&lt;&gt;"",C276&lt;&gt;"",ISNUMBER(G276),ISNUMBER(K276),K276&lt;=G276,K276&gt;0,T276="낙찰",ISNUMBER(L276),L276&gt;0,ISNUMBER(U276),U276&gt;0,COUNTIFS(A$2:A$301,A276,B$2:B$301,B276,C$2:C$301,C276,G$2:G$301,G276)=1),"평가 가능","")</f>
        <v/>
      </c>
      <c r="X276" s="8">
        <f>IF(W276="평가 가능",(L276-U276)/U276,"")</f>
        <v/>
      </c>
      <c r="Y276" s="8">
        <f>IF(W276="평가 가능",ABS(X276),"")</f>
        <v/>
      </c>
      <c r="Z276" s="7">
        <f>IF(AND(ISNUMBER(M276),M276&gt;0,ISNUMBER(I276)),IF(M276&lt;I276,"최저가 미달",IF(M276=I276,"최저가 동액","최저가 초과")),"")</f>
        <v/>
      </c>
      <c r="AA276" s="7">
        <f>IF(AND(T276="낙찰",ISNUMBER(M276),M276&gt;0,ISNUMBER(U276)),IF(M276&lt;U276,"실제 낙찰가 미만",IF(M276=U276,"실제 낙찰가 동액","실제 낙찰가 초과")),"")</f>
        <v/>
      </c>
      <c r="AB276" s="7">
        <f>IF(AND(ISNUMBER(M276),M276&gt;0,ISNUMBER(R276)),IF(M276&lt;R276,"상한가 미만",IF(M276=R276,"상한가 동액","상한가 초과")),"")</f>
        <v/>
      </c>
      <c r="AC276" s="2" t="n"/>
      <c r="AD276" s="7">
        <f>IF(COUNTA(A276:Q276,S276:V276,AC276)=0,"",IF(OR(A276="",B276="",C276="",NOT(ISNUMBER(G276))),"식별값 확인",IF(COUNTIFS(A$2:A$301,A276,B$2:B$301,B276,C$2:C$301,C276,G$2:G$301,G276)&gt;1,"중복 회차",IF(AND(ISNUMBER(K276),K276&gt;G276),"기일 후 예측",IF(AND(T276="낙찰",W276=""),"평가 입력 확인","")))))</f>
        <v/>
      </c>
    </row>
    <row r="277">
      <c r="A277" s="3" t="n"/>
      <c r="B277" s="3" t="n"/>
      <c r="C277" s="3" t="n"/>
      <c r="D277" s="3" t="n"/>
      <c r="E277" s="3" t="n"/>
      <c r="F277" s="3" t="n"/>
      <c r="G277" s="9" t="n"/>
      <c r="H277" s="10" t="n"/>
      <c r="I277" s="10" t="n"/>
      <c r="J277" s="3" t="n"/>
      <c r="K277" s="9" t="n"/>
      <c r="L277" s="10" t="n"/>
      <c r="M277" s="10" t="n"/>
      <c r="N277" s="3" t="n"/>
      <c r="O277" s="10" t="n"/>
      <c r="P277" s="10" t="n"/>
      <c r="Q277" s="10" t="n"/>
      <c r="R277" s="6">
        <f>IF(COUNT(O277:Q277)=3,O277-P277-Q277,"")</f>
        <v/>
      </c>
      <c r="S277" s="3" t="n"/>
      <c r="T277" s="3" t="n"/>
      <c r="U277" s="10" t="n"/>
      <c r="V277" s="3" t="n"/>
      <c r="W277" s="7">
        <f>IF(AND(A277&lt;&gt;"",B277&lt;&gt;"",C277&lt;&gt;"",ISNUMBER(G277),ISNUMBER(K277),K277&lt;=G277,K277&gt;0,T277="낙찰",ISNUMBER(L277),L277&gt;0,ISNUMBER(U277),U277&gt;0,COUNTIFS(A$2:A$301,A277,B$2:B$301,B277,C$2:C$301,C277,G$2:G$301,G277)=1),"평가 가능","")</f>
        <v/>
      </c>
      <c r="X277" s="8">
        <f>IF(W277="평가 가능",(L277-U277)/U277,"")</f>
        <v/>
      </c>
      <c r="Y277" s="8">
        <f>IF(W277="평가 가능",ABS(X277),"")</f>
        <v/>
      </c>
      <c r="Z277" s="7">
        <f>IF(AND(ISNUMBER(M277),M277&gt;0,ISNUMBER(I277)),IF(M277&lt;I277,"최저가 미달",IF(M277=I277,"최저가 동액","최저가 초과")),"")</f>
        <v/>
      </c>
      <c r="AA277" s="7">
        <f>IF(AND(T277="낙찰",ISNUMBER(M277),M277&gt;0,ISNUMBER(U277)),IF(M277&lt;U277,"실제 낙찰가 미만",IF(M277=U277,"실제 낙찰가 동액","실제 낙찰가 초과")),"")</f>
        <v/>
      </c>
      <c r="AB277" s="7">
        <f>IF(AND(ISNUMBER(M277),M277&gt;0,ISNUMBER(R277)),IF(M277&lt;R277,"상한가 미만",IF(M277=R277,"상한가 동액","상한가 초과")),"")</f>
        <v/>
      </c>
      <c r="AC277" s="3" t="n"/>
      <c r="AD277" s="7">
        <f>IF(COUNTA(A277:Q277,S277:V277,AC277)=0,"",IF(OR(A277="",B277="",C277="",NOT(ISNUMBER(G277))),"식별값 확인",IF(COUNTIFS(A$2:A$301,A277,B$2:B$301,B277,C$2:C$301,C277,G$2:G$301,G277)&gt;1,"중복 회차",IF(AND(ISNUMBER(K277),K277&gt;G277),"기일 후 예측",IF(AND(T277="낙찰",W277=""),"평가 입력 확인","")))))</f>
        <v/>
      </c>
    </row>
    <row r="278">
      <c r="A278" s="2" t="n"/>
      <c r="B278" s="2" t="n"/>
      <c r="C278" s="2" t="n"/>
      <c r="D278" s="2" t="n"/>
      <c r="E278" s="2" t="n"/>
      <c r="F278" s="2" t="n"/>
      <c r="G278" s="4" t="n"/>
      <c r="H278" s="5" t="n"/>
      <c r="I278" s="5" t="n"/>
      <c r="J278" s="2" t="n"/>
      <c r="K278" s="4" t="n"/>
      <c r="L278" s="5" t="n"/>
      <c r="M278" s="5" t="n"/>
      <c r="N278" s="2" t="n"/>
      <c r="O278" s="5" t="n"/>
      <c r="P278" s="5" t="n"/>
      <c r="Q278" s="5" t="n"/>
      <c r="R278" s="6">
        <f>IF(COUNT(O278:Q278)=3,O278-P278-Q278,"")</f>
        <v/>
      </c>
      <c r="S278" s="2" t="n"/>
      <c r="T278" s="2" t="n"/>
      <c r="U278" s="5" t="n"/>
      <c r="V278" s="2" t="n"/>
      <c r="W278" s="7">
        <f>IF(AND(A278&lt;&gt;"",B278&lt;&gt;"",C278&lt;&gt;"",ISNUMBER(G278),ISNUMBER(K278),K278&lt;=G278,K278&gt;0,T278="낙찰",ISNUMBER(L278),L278&gt;0,ISNUMBER(U278),U278&gt;0,COUNTIFS(A$2:A$301,A278,B$2:B$301,B278,C$2:C$301,C278,G$2:G$301,G278)=1),"평가 가능","")</f>
        <v/>
      </c>
      <c r="X278" s="8">
        <f>IF(W278="평가 가능",(L278-U278)/U278,"")</f>
        <v/>
      </c>
      <c r="Y278" s="8">
        <f>IF(W278="평가 가능",ABS(X278),"")</f>
        <v/>
      </c>
      <c r="Z278" s="7">
        <f>IF(AND(ISNUMBER(M278),M278&gt;0,ISNUMBER(I278)),IF(M278&lt;I278,"최저가 미달",IF(M278=I278,"최저가 동액","최저가 초과")),"")</f>
        <v/>
      </c>
      <c r="AA278" s="7">
        <f>IF(AND(T278="낙찰",ISNUMBER(M278),M278&gt;0,ISNUMBER(U278)),IF(M278&lt;U278,"실제 낙찰가 미만",IF(M278=U278,"실제 낙찰가 동액","실제 낙찰가 초과")),"")</f>
        <v/>
      </c>
      <c r="AB278" s="7">
        <f>IF(AND(ISNUMBER(M278),M278&gt;0,ISNUMBER(R278)),IF(M278&lt;R278,"상한가 미만",IF(M278=R278,"상한가 동액","상한가 초과")),"")</f>
        <v/>
      </c>
      <c r="AC278" s="2" t="n"/>
      <c r="AD278" s="7">
        <f>IF(COUNTA(A278:Q278,S278:V278,AC278)=0,"",IF(OR(A278="",B278="",C278="",NOT(ISNUMBER(G278))),"식별값 확인",IF(COUNTIFS(A$2:A$301,A278,B$2:B$301,B278,C$2:C$301,C278,G$2:G$301,G278)&gt;1,"중복 회차",IF(AND(ISNUMBER(K278),K278&gt;G278),"기일 후 예측",IF(AND(T278="낙찰",W278=""),"평가 입력 확인","")))))</f>
        <v/>
      </c>
    </row>
    <row r="279">
      <c r="A279" s="3" t="n"/>
      <c r="B279" s="3" t="n"/>
      <c r="C279" s="3" t="n"/>
      <c r="D279" s="3" t="n"/>
      <c r="E279" s="3" t="n"/>
      <c r="F279" s="3" t="n"/>
      <c r="G279" s="9" t="n"/>
      <c r="H279" s="10" t="n"/>
      <c r="I279" s="10" t="n"/>
      <c r="J279" s="3" t="n"/>
      <c r="K279" s="9" t="n"/>
      <c r="L279" s="10" t="n"/>
      <c r="M279" s="10" t="n"/>
      <c r="N279" s="3" t="n"/>
      <c r="O279" s="10" t="n"/>
      <c r="P279" s="10" t="n"/>
      <c r="Q279" s="10" t="n"/>
      <c r="R279" s="6">
        <f>IF(COUNT(O279:Q279)=3,O279-P279-Q279,"")</f>
        <v/>
      </c>
      <c r="S279" s="3" t="n"/>
      <c r="T279" s="3" t="n"/>
      <c r="U279" s="10" t="n"/>
      <c r="V279" s="3" t="n"/>
      <c r="W279" s="7">
        <f>IF(AND(A279&lt;&gt;"",B279&lt;&gt;"",C279&lt;&gt;"",ISNUMBER(G279),ISNUMBER(K279),K279&lt;=G279,K279&gt;0,T279="낙찰",ISNUMBER(L279),L279&gt;0,ISNUMBER(U279),U279&gt;0,COUNTIFS(A$2:A$301,A279,B$2:B$301,B279,C$2:C$301,C279,G$2:G$301,G279)=1),"평가 가능","")</f>
        <v/>
      </c>
      <c r="X279" s="8">
        <f>IF(W279="평가 가능",(L279-U279)/U279,"")</f>
        <v/>
      </c>
      <c r="Y279" s="8">
        <f>IF(W279="평가 가능",ABS(X279),"")</f>
        <v/>
      </c>
      <c r="Z279" s="7">
        <f>IF(AND(ISNUMBER(M279),M279&gt;0,ISNUMBER(I279)),IF(M279&lt;I279,"최저가 미달",IF(M279=I279,"최저가 동액","최저가 초과")),"")</f>
        <v/>
      </c>
      <c r="AA279" s="7">
        <f>IF(AND(T279="낙찰",ISNUMBER(M279),M279&gt;0,ISNUMBER(U279)),IF(M279&lt;U279,"실제 낙찰가 미만",IF(M279=U279,"실제 낙찰가 동액","실제 낙찰가 초과")),"")</f>
        <v/>
      </c>
      <c r="AB279" s="7">
        <f>IF(AND(ISNUMBER(M279),M279&gt;0,ISNUMBER(R279)),IF(M279&lt;R279,"상한가 미만",IF(M279=R279,"상한가 동액","상한가 초과")),"")</f>
        <v/>
      </c>
      <c r="AC279" s="3" t="n"/>
      <c r="AD279" s="7">
        <f>IF(COUNTA(A279:Q279,S279:V279,AC279)=0,"",IF(OR(A279="",B279="",C279="",NOT(ISNUMBER(G279))),"식별값 확인",IF(COUNTIFS(A$2:A$301,A279,B$2:B$301,B279,C$2:C$301,C279,G$2:G$301,G279)&gt;1,"중복 회차",IF(AND(ISNUMBER(K279),K279&gt;G279),"기일 후 예측",IF(AND(T279="낙찰",W279=""),"평가 입력 확인","")))))</f>
        <v/>
      </c>
    </row>
    <row r="280">
      <c r="A280" s="2" t="n"/>
      <c r="B280" s="2" t="n"/>
      <c r="C280" s="2" t="n"/>
      <c r="D280" s="2" t="n"/>
      <c r="E280" s="2" t="n"/>
      <c r="F280" s="2" t="n"/>
      <c r="G280" s="4" t="n"/>
      <c r="H280" s="5" t="n"/>
      <c r="I280" s="5" t="n"/>
      <c r="J280" s="2" t="n"/>
      <c r="K280" s="4" t="n"/>
      <c r="L280" s="5" t="n"/>
      <c r="M280" s="5" t="n"/>
      <c r="N280" s="2" t="n"/>
      <c r="O280" s="5" t="n"/>
      <c r="P280" s="5" t="n"/>
      <c r="Q280" s="5" t="n"/>
      <c r="R280" s="6">
        <f>IF(COUNT(O280:Q280)=3,O280-P280-Q280,"")</f>
        <v/>
      </c>
      <c r="S280" s="2" t="n"/>
      <c r="T280" s="2" t="n"/>
      <c r="U280" s="5" t="n"/>
      <c r="V280" s="2" t="n"/>
      <c r="W280" s="7">
        <f>IF(AND(A280&lt;&gt;"",B280&lt;&gt;"",C280&lt;&gt;"",ISNUMBER(G280),ISNUMBER(K280),K280&lt;=G280,K280&gt;0,T280="낙찰",ISNUMBER(L280),L280&gt;0,ISNUMBER(U280),U280&gt;0,COUNTIFS(A$2:A$301,A280,B$2:B$301,B280,C$2:C$301,C280,G$2:G$301,G280)=1),"평가 가능","")</f>
        <v/>
      </c>
      <c r="X280" s="8">
        <f>IF(W280="평가 가능",(L280-U280)/U280,"")</f>
        <v/>
      </c>
      <c r="Y280" s="8">
        <f>IF(W280="평가 가능",ABS(X280),"")</f>
        <v/>
      </c>
      <c r="Z280" s="7">
        <f>IF(AND(ISNUMBER(M280),M280&gt;0,ISNUMBER(I280)),IF(M280&lt;I280,"최저가 미달",IF(M280=I280,"최저가 동액","최저가 초과")),"")</f>
        <v/>
      </c>
      <c r="AA280" s="7">
        <f>IF(AND(T280="낙찰",ISNUMBER(M280),M280&gt;0,ISNUMBER(U280)),IF(M280&lt;U280,"실제 낙찰가 미만",IF(M280=U280,"실제 낙찰가 동액","실제 낙찰가 초과")),"")</f>
        <v/>
      </c>
      <c r="AB280" s="7">
        <f>IF(AND(ISNUMBER(M280),M280&gt;0,ISNUMBER(R280)),IF(M280&lt;R280,"상한가 미만",IF(M280=R280,"상한가 동액","상한가 초과")),"")</f>
        <v/>
      </c>
      <c r="AC280" s="2" t="n"/>
      <c r="AD280" s="7">
        <f>IF(COUNTA(A280:Q280,S280:V280,AC280)=0,"",IF(OR(A280="",B280="",C280="",NOT(ISNUMBER(G280))),"식별값 확인",IF(COUNTIFS(A$2:A$301,A280,B$2:B$301,B280,C$2:C$301,C280,G$2:G$301,G280)&gt;1,"중복 회차",IF(AND(ISNUMBER(K280),K280&gt;G280),"기일 후 예측",IF(AND(T280="낙찰",W280=""),"평가 입력 확인","")))))</f>
        <v/>
      </c>
    </row>
    <row r="281">
      <c r="A281" s="3" t="n"/>
      <c r="B281" s="3" t="n"/>
      <c r="C281" s="3" t="n"/>
      <c r="D281" s="3" t="n"/>
      <c r="E281" s="3" t="n"/>
      <c r="F281" s="3" t="n"/>
      <c r="G281" s="9" t="n"/>
      <c r="H281" s="10" t="n"/>
      <c r="I281" s="10" t="n"/>
      <c r="J281" s="3" t="n"/>
      <c r="K281" s="9" t="n"/>
      <c r="L281" s="10" t="n"/>
      <c r="M281" s="10" t="n"/>
      <c r="N281" s="3" t="n"/>
      <c r="O281" s="10" t="n"/>
      <c r="P281" s="10" t="n"/>
      <c r="Q281" s="10" t="n"/>
      <c r="R281" s="6">
        <f>IF(COUNT(O281:Q281)=3,O281-P281-Q281,"")</f>
        <v/>
      </c>
      <c r="S281" s="3" t="n"/>
      <c r="T281" s="3" t="n"/>
      <c r="U281" s="10" t="n"/>
      <c r="V281" s="3" t="n"/>
      <c r="W281" s="7">
        <f>IF(AND(A281&lt;&gt;"",B281&lt;&gt;"",C281&lt;&gt;"",ISNUMBER(G281),ISNUMBER(K281),K281&lt;=G281,K281&gt;0,T281="낙찰",ISNUMBER(L281),L281&gt;0,ISNUMBER(U281),U281&gt;0,COUNTIFS(A$2:A$301,A281,B$2:B$301,B281,C$2:C$301,C281,G$2:G$301,G281)=1),"평가 가능","")</f>
        <v/>
      </c>
      <c r="X281" s="8">
        <f>IF(W281="평가 가능",(L281-U281)/U281,"")</f>
        <v/>
      </c>
      <c r="Y281" s="8">
        <f>IF(W281="평가 가능",ABS(X281),"")</f>
        <v/>
      </c>
      <c r="Z281" s="7">
        <f>IF(AND(ISNUMBER(M281),M281&gt;0,ISNUMBER(I281)),IF(M281&lt;I281,"최저가 미달",IF(M281=I281,"최저가 동액","최저가 초과")),"")</f>
        <v/>
      </c>
      <c r="AA281" s="7">
        <f>IF(AND(T281="낙찰",ISNUMBER(M281),M281&gt;0,ISNUMBER(U281)),IF(M281&lt;U281,"실제 낙찰가 미만",IF(M281=U281,"실제 낙찰가 동액","실제 낙찰가 초과")),"")</f>
        <v/>
      </c>
      <c r="AB281" s="7">
        <f>IF(AND(ISNUMBER(M281),M281&gt;0,ISNUMBER(R281)),IF(M281&lt;R281,"상한가 미만",IF(M281=R281,"상한가 동액","상한가 초과")),"")</f>
        <v/>
      </c>
      <c r="AC281" s="3" t="n"/>
      <c r="AD281" s="7">
        <f>IF(COUNTA(A281:Q281,S281:V281,AC281)=0,"",IF(OR(A281="",B281="",C281="",NOT(ISNUMBER(G281))),"식별값 확인",IF(COUNTIFS(A$2:A$301,A281,B$2:B$301,B281,C$2:C$301,C281,G$2:G$301,G281)&gt;1,"중복 회차",IF(AND(ISNUMBER(K281),K281&gt;G281),"기일 후 예측",IF(AND(T281="낙찰",W281=""),"평가 입력 확인","")))))</f>
        <v/>
      </c>
    </row>
    <row r="282">
      <c r="A282" s="2" t="n"/>
      <c r="B282" s="2" t="n"/>
      <c r="C282" s="2" t="n"/>
      <c r="D282" s="2" t="n"/>
      <c r="E282" s="2" t="n"/>
      <c r="F282" s="2" t="n"/>
      <c r="G282" s="4" t="n"/>
      <c r="H282" s="5" t="n"/>
      <c r="I282" s="5" t="n"/>
      <c r="J282" s="2" t="n"/>
      <c r="K282" s="4" t="n"/>
      <c r="L282" s="5" t="n"/>
      <c r="M282" s="5" t="n"/>
      <c r="N282" s="2" t="n"/>
      <c r="O282" s="5" t="n"/>
      <c r="P282" s="5" t="n"/>
      <c r="Q282" s="5" t="n"/>
      <c r="R282" s="6">
        <f>IF(COUNT(O282:Q282)=3,O282-P282-Q282,"")</f>
        <v/>
      </c>
      <c r="S282" s="2" t="n"/>
      <c r="T282" s="2" t="n"/>
      <c r="U282" s="5" t="n"/>
      <c r="V282" s="2" t="n"/>
      <c r="W282" s="7">
        <f>IF(AND(A282&lt;&gt;"",B282&lt;&gt;"",C282&lt;&gt;"",ISNUMBER(G282),ISNUMBER(K282),K282&lt;=G282,K282&gt;0,T282="낙찰",ISNUMBER(L282),L282&gt;0,ISNUMBER(U282),U282&gt;0,COUNTIFS(A$2:A$301,A282,B$2:B$301,B282,C$2:C$301,C282,G$2:G$301,G282)=1),"평가 가능","")</f>
        <v/>
      </c>
      <c r="X282" s="8">
        <f>IF(W282="평가 가능",(L282-U282)/U282,"")</f>
        <v/>
      </c>
      <c r="Y282" s="8">
        <f>IF(W282="평가 가능",ABS(X282),"")</f>
        <v/>
      </c>
      <c r="Z282" s="7">
        <f>IF(AND(ISNUMBER(M282),M282&gt;0,ISNUMBER(I282)),IF(M282&lt;I282,"최저가 미달",IF(M282=I282,"최저가 동액","최저가 초과")),"")</f>
        <v/>
      </c>
      <c r="AA282" s="7">
        <f>IF(AND(T282="낙찰",ISNUMBER(M282),M282&gt;0,ISNUMBER(U282)),IF(M282&lt;U282,"실제 낙찰가 미만",IF(M282=U282,"실제 낙찰가 동액","실제 낙찰가 초과")),"")</f>
        <v/>
      </c>
      <c r="AB282" s="7">
        <f>IF(AND(ISNUMBER(M282),M282&gt;0,ISNUMBER(R282)),IF(M282&lt;R282,"상한가 미만",IF(M282=R282,"상한가 동액","상한가 초과")),"")</f>
        <v/>
      </c>
      <c r="AC282" s="2" t="n"/>
      <c r="AD282" s="7">
        <f>IF(COUNTA(A282:Q282,S282:V282,AC282)=0,"",IF(OR(A282="",B282="",C282="",NOT(ISNUMBER(G282))),"식별값 확인",IF(COUNTIFS(A$2:A$301,A282,B$2:B$301,B282,C$2:C$301,C282,G$2:G$301,G282)&gt;1,"중복 회차",IF(AND(ISNUMBER(K282),K282&gt;G282),"기일 후 예측",IF(AND(T282="낙찰",W282=""),"평가 입력 확인","")))))</f>
        <v/>
      </c>
    </row>
    <row r="283">
      <c r="A283" s="3" t="n"/>
      <c r="B283" s="3" t="n"/>
      <c r="C283" s="3" t="n"/>
      <c r="D283" s="3" t="n"/>
      <c r="E283" s="3" t="n"/>
      <c r="F283" s="3" t="n"/>
      <c r="G283" s="9" t="n"/>
      <c r="H283" s="10" t="n"/>
      <c r="I283" s="10" t="n"/>
      <c r="J283" s="3" t="n"/>
      <c r="K283" s="9" t="n"/>
      <c r="L283" s="10" t="n"/>
      <c r="M283" s="10" t="n"/>
      <c r="N283" s="3" t="n"/>
      <c r="O283" s="10" t="n"/>
      <c r="P283" s="10" t="n"/>
      <c r="Q283" s="10" t="n"/>
      <c r="R283" s="6">
        <f>IF(COUNT(O283:Q283)=3,O283-P283-Q283,"")</f>
        <v/>
      </c>
      <c r="S283" s="3" t="n"/>
      <c r="T283" s="3" t="n"/>
      <c r="U283" s="10" t="n"/>
      <c r="V283" s="3" t="n"/>
      <c r="W283" s="7">
        <f>IF(AND(A283&lt;&gt;"",B283&lt;&gt;"",C283&lt;&gt;"",ISNUMBER(G283),ISNUMBER(K283),K283&lt;=G283,K283&gt;0,T283="낙찰",ISNUMBER(L283),L283&gt;0,ISNUMBER(U283),U283&gt;0,COUNTIFS(A$2:A$301,A283,B$2:B$301,B283,C$2:C$301,C283,G$2:G$301,G283)=1),"평가 가능","")</f>
        <v/>
      </c>
      <c r="X283" s="8">
        <f>IF(W283="평가 가능",(L283-U283)/U283,"")</f>
        <v/>
      </c>
      <c r="Y283" s="8">
        <f>IF(W283="평가 가능",ABS(X283),"")</f>
        <v/>
      </c>
      <c r="Z283" s="7">
        <f>IF(AND(ISNUMBER(M283),M283&gt;0,ISNUMBER(I283)),IF(M283&lt;I283,"최저가 미달",IF(M283=I283,"최저가 동액","최저가 초과")),"")</f>
        <v/>
      </c>
      <c r="AA283" s="7">
        <f>IF(AND(T283="낙찰",ISNUMBER(M283),M283&gt;0,ISNUMBER(U283)),IF(M283&lt;U283,"실제 낙찰가 미만",IF(M283=U283,"실제 낙찰가 동액","실제 낙찰가 초과")),"")</f>
        <v/>
      </c>
      <c r="AB283" s="7">
        <f>IF(AND(ISNUMBER(M283),M283&gt;0,ISNUMBER(R283)),IF(M283&lt;R283,"상한가 미만",IF(M283=R283,"상한가 동액","상한가 초과")),"")</f>
        <v/>
      </c>
      <c r="AC283" s="3" t="n"/>
      <c r="AD283" s="7">
        <f>IF(COUNTA(A283:Q283,S283:V283,AC283)=0,"",IF(OR(A283="",B283="",C283="",NOT(ISNUMBER(G283))),"식별값 확인",IF(COUNTIFS(A$2:A$301,A283,B$2:B$301,B283,C$2:C$301,C283,G$2:G$301,G283)&gt;1,"중복 회차",IF(AND(ISNUMBER(K283),K283&gt;G283),"기일 후 예측",IF(AND(T283="낙찰",W283=""),"평가 입력 확인","")))))</f>
        <v/>
      </c>
    </row>
    <row r="284">
      <c r="A284" s="2" t="n"/>
      <c r="B284" s="2" t="n"/>
      <c r="C284" s="2" t="n"/>
      <c r="D284" s="2" t="n"/>
      <c r="E284" s="2" t="n"/>
      <c r="F284" s="2" t="n"/>
      <c r="G284" s="4" t="n"/>
      <c r="H284" s="5" t="n"/>
      <c r="I284" s="5" t="n"/>
      <c r="J284" s="2" t="n"/>
      <c r="K284" s="4" t="n"/>
      <c r="L284" s="5" t="n"/>
      <c r="M284" s="5" t="n"/>
      <c r="N284" s="2" t="n"/>
      <c r="O284" s="5" t="n"/>
      <c r="P284" s="5" t="n"/>
      <c r="Q284" s="5" t="n"/>
      <c r="R284" s="6">
        <f>IF(COUNT(O284:Q284)=3,O284-P284-Q284,"")</f>
        <v/>
      </c>
      <c r="S284" s="2" t="n"/>
      <c r="T284" s="2" t="n"/>
      <c r="U284" s="5" t="n"/>
      <c r="V284" s="2" t="n"/>
      <c r="W284" s="7">
        <f>IF(AND(A284&lt;&gt;"",B284&lt;&gt;"",C284&lt;&gt;"",ISNUMBER(G284),ISNUMBER(K284),K284&lt;=G284,K284&gt;0,T284="낙찰",ISNUMBER(L284),L284&gt;0,ISNUMBER(U284),U284&gt;0,COUNTIFS(A$2:A$301,A284,B$2:B$301,B284,C$2:C$301,C284,G$2:G$301,G284)=1),"평가 가능","")</f>
        <v/>
      </c>
      <c r="X284" s="8">
        <f>IF(W284="평가 가능",(L284-U284)/U284,"")</f>
        <v/>
      </c>
      <c r="Y284" s="8">
        <f>IF(W284="평가 가능",ABS(X284),"")</f>
        <v/>
      </c>
      <c r="Z284" s="7">
        <f>IF(AND(ISNUMBER(M284),M284&gt;0,ISNUMBER(I284)),IF(M284&lt;I284,"최저가 미달",IF(M284=I284,"최저가 동액","최저가 초과")),"")</f>
        <v/>
      </c>
      <c r="AA284" s="7">
        <f>IF(AND(T284="낙찰",ISNUMBER(M284),M284&gt;0,ISNUMBER(U284)),IF(M284&lt;U284,"실제 낙찰가 미만",IF(M284=U284,"실제 낙찰가 동액","실제 낙찰가 초과")),"")</f>
        <v/>
      </c>
      <c r="AB284" s="7">
        <f>IF(AND(ISNUMBER(M284),M284&gt;0,ISNUMBER(R284)),IF(M284&lt;R284,"상한가 미만",IF(M284=R284,"상한가 동액","상한가 초과")),"")</f>
        <v/>
      </c>
      <c r="AC284" s="2" t="n"/>
      <c r="AD284" s="7">
        <f>IF(COUNTA(A284:Q284,S284:V284,AC284)=0,"",IF(OR(A284="",B284="",C284="",NOT(ISNUMBER(G284))),"식별값 확인",IF(COUNTIFS(A$2:A$301,A284,B$2:B$301,B284,C$2:C$301,C284,G$2:G$301,G284)&gt;1,"중복 회차",IF(AND(ISNUMBER(K284),K284&gt;G284),"기일 후 예측",IF(AND(T284="낙찰",W284=""),"평가 입력 확인","")))))</f>
        <v/>
      </c>
    </row>
    <row r="285">
      <c r="A285" s="3" t="n"/>
      <c r="B285" s="3" t="n"/>
      <c r="C285" s="3" t="n"/>
      <c r="D285" s="3" t="n"/>
      <c r="E285" s="3" t="n"/>
      <c r="F285" s="3" t="n"/>
      <c r="G285" s="9" t="n"/>
      <c r="H285" s="10" t="n"/>
      <c r="I285" s="10" t="n"/>
      <c r="J285" s="3" t="n"/>
      <c r="K285" s="9" t="n"/>
      <c r="L285" s="10" t="n"/>
      <c r="M285" s="10" t="n"/>
      <c r="N285" s="3" t="n"/>
      <c r="O285" s="10" t="n"/>
      <c r="P285" s="10" t="n"/>
      <c r="Q285" s="10" t="n"/>
      <c r="R285" s="6">
        <f>IF(COUNT(O285:Q285)=3,O285-P285-Q285,"")</f>
        <v/>
      </c>
      <c r="S285" s="3" t="n"/>
      <c r="T285" s="3" t="n"/>
      <c r="U285" s="10" t="n"/>
      <c r="V285" s="3" t="n"/>
      <c r="W285" s="7">
        <f>IF(AND(A285&lt;&gt;"",B285&lt;&gt;"",C285&lt;&gt;"",ISNUMBER(G285),ISNUMBER(K285),K285&lt;=G285,K285&gt;0,T285="낙찰",ISNUMBER(L285),L285&gt;0,ISNUMBER(U285),U285&gt;0,COUNTIFS(A$2:A$301,A285,B$2:B$301,B285,C$2:C$301,C285,G$2:G$301,G285)=1),"평가 가능","")</f>
        <v/>
      </c>
      <c r="X285" s="8">
        <f>IF(W285="평가 가능",(L285-U285)/U285,"")</f>
        <v/>
      </c>
      <c r="Y285" s="8">
        <f>IF(W285="평가 가능",ABS(X285),"")</f>
        <v/>
      </c>
      <c r="Z285" s="7">
        <f>IF(AND(ISNUMBER(M285),M285&gt;0,ISNUMBER(I285)),IF(M285&lt;I285,"최저가 미달",IF(M285=I285,"최저가 동액","최저가 초과")),"")</f>
        <v/>
      </c>
      <c r="AA285" s="7">
        <f>IF(AND(T285="낙찰",ISNUMBER(M285),M285&gt;0,ISNUMBER(U285)),IF(M285&lt;U285,"실제 낙찰가 미만",IF(M285=U285,"실제 낙찰가 동액","실제 낙찰가 초과")),"")</f>
        <v/>
      </c>
      <c r="AB285" s="7">
        <f>IF(AND(ISNUMBER(M285),M285&gt;0,ISNUMBER(R285)),IF(M285&lt;R285,"상한가 미만",IF(M285=R285,"상한가 동액","상한가 초과")),"")</f>
        <v/>
      </c>
      <c r="AC285" s="3" t="n"/>
      <c r="AD285" s="7">
        <f>IF(COUNTA(A285:Q285,S285:V285,AC285)=0,"",IF(OR(A285="",B285="",C285="",NOT(ISNUMBER(G285))),"식별값 확인",IF(COUNTIFS(A$2:A$301,A285,B$2:B$301,B285,C$2:C$301,C285,G$2:G$301,G285)&gt;1,"중복 회차",IF(AND(ISNUMBER(K285),K285&gt;G285),"기일 후 예측",IF(AND(T285="낙찰",W285=""),"평가 입력 확인","")))))</f>
        <v/>
      </c>
    </row>
    <row r="286">
      <c r="A286" s="2" t="n"/>
      <c r="B286" s="2" t="n"/>
      <c r="C286" s="2" t="n"/>
      <c r="D286" s="2" t="n"/>
      <c r="E286" s="2" t="n"/>
      <c r="F286" s="2" t="n"/>
      <c r="G286" s="4" t="n"/>
      <c r="H286" s="5" t="n"/>
      <c r="I286" s="5" t="n"/>
      <c r="J286" s="2" t="n"/>
      <c r="K286" s="4" t="n"/>
      <c r="L286" s="5" t="n"/>
      <c r="M286" s="5" t="n"/>
      <c r="N286" s="2" t="n"/>
      <c r="O286" s="5" t="n"/>
      <c r="P286" s="5" t="n"/>
      <c r="Q286" s="5" t="n"/>
      <c r="R286" s="6">
        <f>IF(COUNT(O286:Q286)=3,O286-P286-Q286,"")</f>
        <v/>
      </c>
      <c r="S286" s="2" t="n"/>
      <c r="T286" s="2" t="n"/>
      <c r="U286" s="5" t="n"/>
      <c r="V286" s="2" t="n"/>
      <c r="W286" s="7">
        <f>IF(AND(A286&lt;&gt;"",B286&lt;&gt;"",C286&lt;&gt;"",ISNUMBER(G286),ISNUMBER(K286),K286&lt;=G286,K286&gt;0,T286="낙찰",ISNUMBER(L286),L286&gt;0,ISNUMBER(U286),U286&gt;0,COUNTIFS(A$2:A$301,A286,B$2:B$301,B286,C$2:C$301,C286,G$2:G$301,G286)=1),"평가 가능","")</f>
        <v/>
      </c>
      <c r="X286" s="8">
        <f>IF(W286="평가 가능",(L286-U286)/U286,"")</f>
        <v/>
      </c>
      <c r="Y286" s="8">
        <f>IF(W286="평가 가능",ABS(X286),"")</f>
        <v/>
      </c>
      <c r="Z286" s="7">
        <f>IF(AND(ISNUMBER(M286),M286&gt;0,ISNUMBER(I286)),IF(M286&lt;I286,"최저가 미달",IF(M286=I286,"최저가 동액","최저가 초과")),"")</f>
        <v/>
      </c>
      <c r="AA286" s="7">
        <f>IF(AND(T286="낙찰",ISNUMBER(M286),M286&gt;0,ISNUMBER(U286)),IF(M286&lt;U286,"실제 낙찰가 미만",IF(M286=U286,"실제 낙찰가 동액","실제 낙찰가 초과")),"")</f>
        <v/>
      </c>
      <c r="AB286" s="7">
        <f>IF(AND(ISNUMBER(M286),M286&gt;0,ISNUMBER(R286)),IF(M286&lt;R286,"상한가 미만",IF(M286=R286,"상한가 동액","상한가 초과")),"")</f>
        <v/>
      </c>
      <c r="AC286" s="2" t="n"/>
      <c r="AD286" s="7">
        <f>IF(COUNTA(A286:Q286,S286:V286,AC286)=0,"",IF(OR(A286="",B286="",C286="",NOT(ISNUMBER(G286))),"식별값 확인",IF(COUNTIFS(A$2:A$301,A286,B$2:B$301,B286,C$2:C$301,C286,G$2:G$301,G286)&gt;1,"중복 회차",IF(AND(ISNUMBER(K286),K286&gt;G286),"기일 후 예측",IF(AND(T286="낙찰",W286=""),"평가 입력 확인","")))))</f>
        <v/>
      </c>
    </row>
    <row r="287">
      <c r="A287" s="3" t="n"/>
      <c r="B287" s="3" t="n"/>
      <c r="C287" s="3" t="n"/>
      <c r="D287" s="3" t="n"/>
      <c r="E287" s="3" t="n"/>
      <c r="F287" s="3" t="n"/>
      <c r="G287" s="9" t="n"/>
      <c r="H287" s="10" t="n"/>
      <c r="I287" s="10" t="n"/>
      <c r="J287" s="3" t="n"/>
      <c r="K287" s="9" t="n"/>
      <c r="L287" s="10" t="n"/>
      <c r="M287" s="10" t="n"/>
      <c r="N287" s="3" t="n"/>
      <c r="O287" s="10" t="n"/>
      <c r="P287" s="10" t="n"/>
      <c r="Q287" s="10" t="n"/>
      <c r="R287" s="6">
        <f>IF(COUNT(O287:Q287)=3,O287-P287-Q287,"")</f>
        <v/>
      </c>
      <c r="S287" s="3" t="n"/>
      <c r="T287" s="3" t="n"/>
      <c r="U287" s="10" t="n"/>
      <c r="V287" s="3" t="n"/>
      <c r="W287" s="7">
        <f>IF(AND(A287&lt;&gt;"",B287&lt;&gt;"",C287&lt;&gt;"",ISNUMBER(G287),ISNUMBER(K287),K287&lt;=G287,K287&gt;0,T287="낙찰",ISNUMBER(L287),L287&gt;0,ISNUMBER(U287),U287&gt;0,COUNTIFS(A$2:A$301,A287,B$2:B$301,B287,C$2:C$301,C287,G$2:G$301,G287)=1),"평가 가능","")</f>
        <v/>
      </c>
      <c r="X287" s="8">
        <f>IF(W287="평가 가능",(L287-U287)/U287,"")</f>
        <v/>
      </c>
      <c r="Y287" s="8">
        <f>IF(W287="평가 가능",ABS(X287),"")</f>
        <v/>
      </c>
      <c r="Z287" s="7">
        <f>IF(AND(ISNUMBER(M287),M287&gt;0,ISNUMBER(I287)),IF(M287&lt;I287,"최저가 미달",IF(M287=I287,"최저가 동액","최저가 초과")),"")</f>
        <v/>
      </c>
      <c r="AA287" s="7">
        <f>IF(AND(T287="낙찰",ISNUMBER(M287),M287&gt;0,ISNUMBER(U287)),IF(M287&lt;U287,"실제 낙찰가 미만",IF(M287=U287,"실제 낙찰가 동액","실제 낙찰가 초과")),"")</f>
        <v/>
      </c>
      <c r="AB287" s="7">
        <f>IF(AND(ISNUMBER(M287),M287&gt;0,ISNUMBER(R287)),IF(M287&lt;R287,"상한가 미만",IF(M287=R287,"상한가 동액","상한가 초과")),"")</f>
        <v/>
      </c>
      <c r="AC287" s="3" t="n"/>
      <c r="AD287" s="7">
        <f>IF(COUNTA(A287:Q287,S287:V287,AC287)=0,"",IF(OR(A287="",B287="",C287="",NOT(ISNUMBER(G287))),"식별값 확인",IF(COUNTIFS(A$2:A$301,A287,B$2:B$301,B287,C$2:C$301,C287,G$2:G$301,G287)&gt;1,"중복 회차",IF(AND(ISNUMBER(K287),K287&gt;G287),"기일 후 예측",IF(AND(T287="낙찰",W287=""),"평가 입력 확인","")))))</f>
        <v/>
      </c>
    </row>
    <row r="288">
      <c r="A288" s="2" t="n"/>
      <c r="B288" s="2" t="n"/>
      <c r="C288" s="2" t="n"/>
      <c r="D288" s="2" t="n"/>
      <c r="E288" s="2" t="n"/>
      <c r="F288" s="2" t="n"/>
      <c r="G288" s="4" t="n"/>
      <c r="H288" s="5" t="n"/>
      <c r="I288" s="5" t="n"/>
      <c r="J288" s="2" t="n"/>
      <c r="K288" s="4" t="n"/>
      <c r="L288" s="5" t="n"/>
      <c r="M288" s="5" t="n"/>
      <c r="N288" s="2" t="n"/>
      <c r="O288" s="5" t="n"/>
      <c r="P288" s="5" t="n"/>
      <c r="Q288" s="5" t="n"/>
      <c r="R288" s="6">
        <f>IF(COUNT(O288:Q288)=3,O288-P288-Q288,"")</f>
        <v/>
      </c>
      <c r="S288" s="2" t="n"/>
      <c r="T288" s="2" t="n"/>
      <c r="U288" s="5" t="n"/>
      <c r="V288" s="2" t="n"/>
      <c r="W288" s="7">
        <f>IF(AND(A288&lt;&gt;"",B288&lt;&gt;"",C288&lt;&gt;"",ISNUMBER(G288),ISNUMBER(K288),K288&lt;=G288,K288&gt;0,T288="낙찰",ISNUMBER(L288),L288&gt;0,ISNUMBER(U288),U288&gt;0,COUNTIFS(A$2:A$301,A288,B$2:B$301,B288,C$2:C$301,C288,G$2:G$301,G288)=1),"평가 가능","")</f>
        <v/>
      </c>
      <c r="X288" s="8">
        <f>IF(W288="평가 가능",(L288-U288)/U288,"")</f>
        <v/>
      </c>
      <c r="Y288" s="8">
        <f>IF(W288="평가 가능",ABS(X288),"")</f>
        <v/>
      </c>
      <c r="Z288" s="7">
        <f>IF(AND(ISNUMBER(M288),M288&gt;0,ISNUMBER(I288)),IF(M288&lt;I288,"최저가 미달",IF(M288=I288,"최저가 동액","최저가 초과")),"")</f>
        <v/>
      </c>
      <c r="AA288" s="7">
        <f>IF(AND(T288="낙찰",ISNUMBER(M288),M288&gt;0,ISNUMBER(U288)),IF(M288&lt;U288,"실제 낙찰가 미만",IF(M288=U288,"실제 낙찰가 동액","실제 낙찰가 초과")),"")</f>
        <v/>
      </c>
      <c r="AB288" s="7">
        <f>IF(AND(ISNUMBER(M288),M288&gt;0,ISNUMBER(R288)),IF(M288&lt;R288,"상한가 미만",IF(M288=R288,"상한가 동액","상한가 초과")),"")</f>
        <v/>
      </c>
      <c r="AC288" s="2" t="n"/>
      <c r="AD288" s="7">
        <f>IF(COUNTA(A288:Q288,S288:V288,AC288)=0,"",IF(OR(A288="",B288="",C288="",NOT(ISNUMBER(G288))),"식별값 확인",IF(COUNTIFS(A$2:A$301,A288,B$2:B$301,B288,C$2:C$301,C288,G$2:G$301,G288)&gt;1,"중복 회차",IF(AND(ISNUMBER(K288),K288&gt;G288),"기일 후 예측",IF(AND(T288="낙찰",W288=""),"평가 입력 확인","")))))</f>
        <v/>
      </c>
    </row>
    <row r="289">
      <c r="A289" s="3" t="n"/>
      <c r="B289" s="3" t="n"/>
      <c r="C289" s="3" t="n"/>
      <c r="D289" s="3" t="n"/>
      <c r="E289" s="3" t="n"/>
      <c r="F289" s="3" t="n"/>
      <c r="G289" s="9" t="n"/>
      <c r="H289" s="10" t="n"/>
      <c r="I289" s="10" t="n"/>
      <c r="J289" s="3" t="n"/>
      <c r="K289" s="9" t="n"/>
      <c r="L289" s="10" t="n"/>
      <c r="M289" s="10" t="n"/>
      <c r="N289" s="3" t="n"/>
      <c r="O289" s="10" t="n"/>
      <c r="P289" s="10" t="n"/>
      <c r="Q289" s="10" t="n"/>
      <c r="R289" s="6">
        <f>IF(COUNT(O289:Q289)=3,O289-P289-Q289,"")</f>
        <v/>
      </c>
      <c r="S289" s="3" t="n"/>
      <c r="T289" s="3" t="n"/>
      <c r="U289" s="10" t="n"/>
      <c r="V289" s="3" t="n"/>
      <c r="W289" s="7">
        <f>IF(AND(A289&lt;&gt;"",B289&lt;&gt;"",C289&lt;&gt;"",ISNUMBER(G289),ISNUMBER(K289),K289&lt;=G289,K289&gt;0,T289="낙찰",ISNUMBER(L289),L289&gt;0,ISNUMBER(U289),U289&gt;0,COUNTIFS(A$2:A$301,A289,B$2:B$301,B289,C$2:C$301,C289,G$2:G$301,G289)=1),"평가 가능","")</f>
        <v/>
      </c>
      <c r="X289" s="8">
        <f>IF(W289="평가 가능",(L289-U289)/U289,"")</f>
        <v/>
      </c>
      <c r="Y289" s="8">
        <f>IF(W289="평가 가능",ABS(X289),"")</f>
        <v/>
      </c>
      <c r="Z289" s="7">
        <f>IF(AND(ISNUMBER(M289),M289&gt;0,ISNUMBER(I289)),IF(M289&lt;I289,"최저가 미달",IF(M289=I289,"최저가 동액","최저가 초과")),"")</f>
        <v/>
      </c>
      <c r="AA289" s="7">
        <f>IF(AND(T289="낙찰",ISNUMBER(M289),M289&gt;0,ISNUMBER(U289)),IF(M289&lt;U289,"실제 낙찰가 미만",IF(M289=U289,"실제 낙찰가 동액","실제 낙찰가 초과")),"")</f>
        <v/>
      </c>
      <c r="AB289" s="7">
        <f>IF(AND(ISNUMBER(M289),M289&gt;0,ISNUMBER(R289)),IF(M289&lt;R289,"상한가 미만",IF(M289=R289,"상한가 동액","상한가 초과")),"")</f>
        <v/>
      </c>
      <c r="AC289" s="3" t="n"/>
      <c r="AD289" s="7">
        <f>IF(COUNTA(A289:Q289,S289:V289,AC289)=0,"",IF(OR(A289="",B289="",C289="",NOT(ISNUMBER(G289))),"식별값 확인",IF(COUNTIFS(A$2:A$301,A289,B$2:B$301,B289,C$2:C$301,C289,G$2:G$301,G289)&gt;1,"중복 회차",IF(AND(ISNUMBER(K289),K289&gt;G289),"기일 후 예측",IF(AND(T289="낙찰",W289=""),"평가 입력 확인","")))))</f>
        <v/>
      </c>
    </row>
    <row r="290">
      <c r="A290" s="2" t="n"/>
      <c r="B290" s="2" t="n"/>
      <c r="C290" s="2" t="n"/>
      <c r="D290" s="2" t="n"/>
      <c r="E290" s="2" t="n"/>
      <c r="F290" s="2" t="n"/>
      <c r="G290" s="4" t="n"/>
      <c r="H290" s="5" t="n"/>
      <c r="I290" s="5" t="n"/>
      <c r="J290" s="2" t="n"/>
      <c r="K290" s="4" t="n"/>
      <c r="L290" s="5" t="n"/>
      <c r="M290" s="5" t="n"/>
      <c r="N290" s="2" t="n"/>
      <c r="O290" s="5" t="n"/>
      <c r="P290" s="5" t="n"/>
      <c r="Q290" s="5" t="n"/>
      <c r="R290" s="6">
        <f>IF(COUNT(O290:Q290)=3,O290-P290-Q290,"")</f>
        <v/>
      </c>
      <c r="S290" s="2" t="n"/>
      <c r="T290" s="2" t="n"/>
      <c r="U290" s="5" t="n"/>
      <c r="V290" s="2" t="n"/>
      <c r="W290" s="7">
        <f>IF(AND(A290&lt;&gt;"",B290&lt;&gt;"",C290&lt;&gt;"",ISNUMBER(G290),ISNUMBER(K290),K290&lt;=G290,K290&gt;0,T290="낙찰",ISNUMBER(L290),L290&gt;0,ISNUMBER(U290),U290&gt;0,COUNTIFS(A$2:A$301,A290,B$2:B$301,B290,C$2:C$301,C290,G$2:G$301,G290)=1),"평가 가능","")</f>
        <v/>
      </c>
      <c r="X290" s="8">
        <f>IF(W290="평가 가능",(L290-U290)/U290,"")</f>
        <v/>
      </c>
      <c r="Y290" s="8">
        <f>IF(W290="평가 가능",ABS(X290),"")</f>
        <v/>
      </c>
      <c r="Z290" s="7">
        <f>IF(AND(ISNUMBER(M290),M290&gt;0,ISNUMBER(I290)),IF(M290&lt;I290,"최저가 미달",IF(M290=I290,"최저가 동액","최저가 초과")),"")</f>
        <v/>
      </c>
      <c r="AA290" s="7">
        <f>IF(AND(T290="낙찰",ISNUMBER(M290),M290&gt;0,ISNUMBER(U290)),IF(M290&lt;U290,"실제 낙찰가 미만",IF(M290=U290,"실제 낙찰가 동액","실제 낙찰가 초과")),"")</f>
        <v/>
      </c>
      <c r="AB290" s="7">
        <f>IF(AND(ISNUMBER(M290),M290&gt;0,ISNUMBER(R290)),IF(M290&lt;R290,"상한가 미만",IF(M290=R290,"상한가 동액","상한가 초과")),"")</f>
        <v/>
      </c>
      <c r="AC290" s="2" t="n"/>
      <c r="AD290" s="7">
        <f>IF(COUNTA(A290:Q290,S290:V290,AC290)=0,"",IF(OR(A290="",B290="",C290="",NOT(ISNUMBER(G290))),"식별값 확인",IF(COUNTIFS(A$2:A$301,A290,B$2:B$301,B290,C$2:C$301,C290,G$2:G$301,G290)&gt;1,"중복 회차",IF(AND(ISNUMBER(K290),K290&gt;G290),"기일 후 예측",IF(AND(T290="낙찰",W290=""),"평가 입력 확인","")))))</f>
        <v/>
      </c>
    </row>
    <row r="291">
      <c r="A291" s="3" t="n"/>
      <c r="B291" s="3" t="n"/>
      <c r="C291" s="3" t="n"/>
      <c r="D291" s="3" t="n"/>
      <c r="E291" s="3" t="n"/>
      <c r="F291" s="3" t="n"/>
      <c r="G291" s="9" t="n"/>
      <c r="H291" s="10" t="n"/>
      <c r="I291" s="10" t="n"/>
      <c r="J291" s="3" t="n"/>
      <c r="K291" s="9" t="n"/>
      <c r="L291" s="10" t="n"/>
      <c r="M291" s="10" t="n"/>
      <c r="N291" s="3" t="n"/>
      <c r="O291" s="10" t="n"/>
      <c r="P291" s="10" t="n"/>
      <c r="Q291" s="10" t="n"/>
      <c r="R291" s="6">
        <f>IF(COUNT(O291:Q291)=3,O291-P291-Q291,"")</f>
        <v/>
      </c>
      <c r="S291" s="3" t="n"/>
      <c r="T291" s="3" t="n"/>
      <c r="U291" s="10" t="n"/>
      <c r="V291" s="3" t="n"/>
      <c r="W291" s="7">
        <f>IF(AND(A291&lt;&gt;"",B291&lt;&gt;"",C291&lt;&gt;"",ISNUMBER(G291),ISNUMBER(K291),K291&lt;=G291,K291&gt;0,T291="낙찰",ISNUMBER(L291),L291&gt;0,ISNUMBER(U291),U291&gt;0,COUNTIFS(A$2:A$301,A291,B$2:B$301,B291,C$2:C$301,C291,G$2:G$301,G291)=1),"평가 가능","")</f>
        <v/>
      </c>
      <c r="X291" s="8">
        <f>IF(W291="평가 가능",(L291-U291)/U291,"")</f>
        <v/>
      </c>
      <c r="Y291" s="8">
        <f>IF(W291="평가 가능",ABS(X291),"")</f>
        <v/>
      </c>
      <c r="Z291" s="7">
        <f>IF(AND(ISNUMBER(M291),M291&gt;0,ISNUMBER(I291)),IF(M291&lt;I291,"최저가 미달",IF(M291=I291,"최저가 동액","최저가 초과")),"")</f>
        <v/>
      </c>
      <c r="AA291" s="7">
        <f>IF(AND(T291="낙찰",ISNUMBER(M291),M291&gt;0,ISNUMBER(U291)),IF(M291&lt;U291,"실제 낙찰가 미만",IF(M291=U291,"실제 낙찰가 동액","실제 낙찰가 초과")),"")</f>
        <v/>
      </c>
      <c r="AB291" s="7">
        <f>IF(AND(ISNUMBER(M291),M291&gt;0,ISNUMBER(R291)),IF(M291&lt;R291,"상한가 미만",IF(M291=R291,"상한가 동액","상한가 초과")),"")</f>
        <v/>
      </c>
      <c r="AC291" s="3" t="n"/>
      <c r="AD291" s="7">
        <f>IF(COUNTA(A291:Q291,S291:V291,AC291)=0,"",IF(OR(A291="",B291="",C291="",NOT(ISNUMBER(G291))),"식별값 확인",IF(COUNTIFS(A$2:A$301,A291,B$2:B$301,B291,C$2:C$301,C291,G$2:G$301,G291)&gt;1,"중복 회차",IF(AND(ISNUMBER(K291),K291&gt;G291),"기일 후 예측",IF(AND(T291="낙찰",W291=""),"평가 입력 확인","")))))</f>
        <v/>
      </c>
    </row>
    <row r="292">
      <c r="A292" s="2" t="n"/>
      <c r="B292" s="2" t="n"/>
      <c r="C292" s="2" t="n"/>
      <c r="D292" s="2" t="n"/>
      <c r="E292" s="2" t="n"/>
      <c r="F292" s="2" t="n"/>
      <c r="G292" s="4" t="n"/>
      <c r="H292" s="5" t="n"/>
      <c r="I292" s="5" t="n"/>
      <c r="J292" s="2" t="n"/>
      <c r="K292" s="4" t="n"/>
      <c r="L292" s="5" t="n"/>
      <c r="M292" s="5" t="n"/>
      <c r="N292" s="2" t="n"/>
      <c r="O292" s="5" t="n"/>
      <c r="P292" s="5" t="n"/>
      <c r="Q292" s="5" t="n"/>
      <c r="R292" s="6">
        <f>IF(COUNT(O292:Q292)=3,O292-P292-Q292,"")</f>
        <v/>
      </c>
      <c r="S292" s="2" t="n"/>
      <c r="T292" s="2" t="n"/>
      <c r="U292" s="5" t="n"/>
      <c r="V292" s="2" t="n"/>
      <c r="W292" s="7">
        <f>IF(AND(A292&lt;&gt;"",B292&lt;&gt;"",C292&lt;&gt;"",ISNUMBER(G292),ISNUMBER(K292),K292&lt;=G292,K292&gt;0,T292="낙찰",ISNUMBER(L292),L292&gt;0,ISNUMBER(U292),U292&gt;0,COUNTIFS(A$2:A$301,A292,B$2:B$301,B292,C$2:C$301,C292,G$2:G$301,G292)=1),"평가 가능","")</f>
        <v/>
      </c>
      <c r="X292" s="8">
        <f>IF(W292="평가 가능",(L292-U292)/U292,"")</f>
        <v/>
      </c>
      <c r="Y292" s="8">
        <f>IF(W292="평가 가능",ABS(X292),"")</f>
        <v/>
      </c>
      <c r="Z292" s="7">
        <f>IF(AND(ISNUMBER(M292),M292&gt;0,ISNUMBER(I292)),IF(M292&lt;I292,"최저가 미달",IF(M292=I292,"최저가 동액","최저가 초과")),"")</f>
        <v/>
      </c>
      <c r="AA292" s="7">
        <f>IF(AND(T292="낙찰",ISNUMBER(M292),M292&gt;0,ISNUMBER(U292)),IF(M292&lt;U292,"실제 낙찰가 미만",IF(M292=U292,"실제 낙찰가 동액","실제 낙찰가 초과")),"")</f>
        <v/>
      </c>
      <c r="AB292" s="7">
        <f>IF(AND(ISNUMBER(M292),M292&gt;0,ISNUMBER(R292)),IF(M292&lt;R292,"상한가 미만",IF(M292=R292,"상한가 동액","상한가 초과")),"")</f>
        <v/>
      </c>
      <c r="AC292" s="2" t="n"/>
      <c r="AD292" s="7">
        <f>IF(COUNTA(A292:Q292,S292:V292,AC292)=0,"",IF(OR(A292="",B292="",C292="",NOT(ISNUMBER(G292))),"식별값 확인",IF(COUNTIFS(A$2:A$301,A292,B$2:B$301,B292,C$2:C$301,C292,G$2:G$301,G292)&gt;1,"중복 회차",IF(AND(ISNUMBER(K292),K292&gt;G292),"기일 후 예측",IF(AND(T292="낙찰",W292=""),"평가 입력 확인","")))))</f>
        <v/>
      </c>
    </row>
    <row r="293">
      <c r="A293" s="3" t="n"/>
      <c r="B293" s="3" t="n"/>
      <c r="C293" s="3" t="n"/>
      <c r="D293" s="3" t="n"/>
      <c r="E293" s="3" t="n"/>
      <c r="F293" s="3" t="n"/>
      <c r="G293" s="9" t="n"/>
      <c r="H293" s="10" t="n"/>
      <c r="I293" s="10" t="n"/>
      <c r="J293" s="3" t="n"/>
      <c r="K293" s="9" t="n"/>
      <c r="L293" s="10" t="n"/>
      <c r="M293" s="10" t="n"/>
      <c r="N293" s="3" t="n"/>
      <c r="O293" s="10" t="n"/>
      <c r="P293" s="10" t="n"/>
      <c r="Q293" s="10" t="n"/>
      <c r="R293" s="6">
        <f>IF(COUNT(O293:Q293)=3,O293-P293-Q293,"")</f>
        <v/>
      </c>
      <c r="S293" s="3" t="n"/>
      <c r="T293" s="3" t="n"/>
      <c r="U293" s="10" t="n"/>
      <c r="V293" s="3" t="n"/>
      <c r="W293" s="7">
        <f>IF(AND(A293&lt;&gt;"",B293&lt;&gt;"",C293&lt;&gt;"",ISNUMBER(G293),ISNUMBER(K293),K293&lt;=G293,K293&gt;0,T293="낙찰",ISNUMBER(L293),L293&gt;0,ISNUMBER(U293),U293&gt;0,COUNTIFS(A$2:A$301,A293,B$2:B$301,B293,C$2:C$301,C293,G$2:G$301,G293)=1),"평가 가능","")</f>
        <v/>
      </c>
      <c r="X293" s="8">
        <f>IF(W293="평가 가능",(L293-U293)/U293,"")</f>
        <v/>
      </c>
      <c r="Y293" s="8">
        <f>IF(W293="평가 가능",ABS(X293),"")</f>
        <v/>
      </c>
      <c r="Z293" s="7">
        <f>IF(AND(ISNUMBER(M293),M293&gt;0,ISNUMBER(I293)),IF(M293&lt;I293,"최저가 미달",IF(M293=I293,"최저가 동액","최저가 초과")),"")</f>
        <v/>
      </c>
      <c r="AA293" s="7">
        <f>IF(AND(T293="낙찰",ISNUMBER(M293),M293&gt;0,ISNUMBER(U293)),IF(M293&lt;U293,"실제 낙찰가 미만",IF(M293=U293,"실제 낙찰가 동액","실제 낙찰가 초과")),"")</f>
        <v/>
      </c>
      <c r="AB293" s="7">
        <f>IF(AND(ISNUMBER(M293),M293&gt;0,ISNUMBER(R293)),IF(M293&lt;R293,"상한가 미만",IF(M293=R293,"상한가 동액","상한가 초과")),"")</f>
        <v/>
      </c>
      <c r="AC293" s="3" t="n"/>
      <c r="AD293" s="7">
        <f>IF(COUNTA(A293:Q293,S293:V293,AC293)=0,"",IF(OR(A293="",B293="",C293="",NOT(ISNUMBER(G293))),"식별값 확인",IF(COUNTIFS(A$2:A$301,A293,B$2:B$301,B293,C$2:C$301,C293,G$2:G$301,G293)&gt;1,"중복 회차",IF(AND(ISNUMBER(K293),K293&gt;G293),"기일 후 예측",IF(AND(T293="낙찰",W293=""),"평가 입력 확인","")))))</f>
        <v/>
      </c>
    </row>
    <row r="294">
      <c r="A294" s="2" t="n"/>
      <c r="B294" s="2" t="n"/>
      <c r="C294" s="2" t="n"/>
      <c r="D294" s="2" t="n"/>
      <c r="E294" s="2" t="n"/>
      <c r="F294" s="2" t="n"/>
      <c r="G294" s="4" t="n"/>
      <c r="H294" s="5" t="n"/>
      <c r="I294" s="5" t="n"/>
      <c r="J294" s="2" t="n"/>
      <c r="K294" s="4" t="n"/>
      <c r="L294" s="5" t="n"/>
      <c r="M294" s="5" t="n"/>
      <c r="N294" s="2" t="n"/>
      <c r="O294" s="5" t="n"/>
      <c r="P294" s="5" t="n"/>
      <c r="Q294" s="5" t="n"/>
      <c r="R294" s="6">
        <f>IF(COUNT(O294:Q294)=3,O294-P294-Q294,"")</f>
        <v/>
      </c>
      <c r="S294" s="2" t="n"/>
      <c r="T294" s="2" t="n"/>
      <c r="U294" s="5" t="n"/>
      <c r="V294" s="2" t="n"/>
      <c r="W294" s="7">
        <f>IF(AND(A294&lt;&gt;"",B294&lt;&gt;"",C294&lt;&gt;"",ISNUMBER(G294),ISNUMBER(K294),K294&lt;=G294,K294&gt;0,T294="낙찰",ISNUMBER(L294),L294&gt;0,ISNUMBER(U294),U294&gt;0,COUNTIFS(A$2:A$301,A294,B$2:B$301,B294,C$2:C$301,C294,G$2:G$301,G294)=1),"평가 가능","")</f>
        <v/>
      </c>
      <c r="X294" s="8">
        <f>IF(W294="평가 가능",(L294-U294)/U294,"")</f>
        <v/>
      </c>
      <c r="Y294" s="8">
        <f>IF(W294="평가 가능",ABS(X294),"")</f>
        <v/>
      </c>
      <c r="Z294" s="7">
        <f>IF(AND(ISNUMBER(M294),M294&gt;0,ISNUMBER(I294)),IF(M294&lt;I294,"최저가 미달",IF(M294=I294,"최저가 동액","최저가 초과")),"")</f>
        <v/>
      </c>
      <c r="AA294" s="7">
        <f>IF(AND(T294="낙찰",ISNUMBER(M294),M294&gt;0,ISNUMBER(U294)),IF(M294&lt;U294,"실제 낙찰가 미만",IF(M294=U294,"실제 낙찰가 동액","실제 낙찰가 초과")),"")</f>
        <v/>
      </c>
      <c r="AB294" s="7">
        <f>IF(AND(ISNUMBER(M294),M294&gt;0,ISNUMBER(R294)),IF(M294&lt;R294,"상한가 미만",IF(M294=R294,"상한가 동액","상한가 초과")),"")</f>
        <v/>
      </c>
      <c r="AC294" s="2" t="n"/>
      <c r="AD294" s="7">
        <f>IF(COUNTA(A294:Q294,S294:V294,AC294)=0,"",IF(OR(A294="",B294="",C294="",NOT(ISNUMBER(G294))),"식별값 확인",IF(COUNTIFS(A$2:A$301,A294,B$2:B$301,B294,C$2:C$301,C294,G$2:G$301,G294)&gt;1,"중복 회차",IF(AND(ISNUMBER(K294),K294&gt;G294),"기일 후 예측",IF(AND(T294="낙찰",W294=""),"평가 입력 확인","")))))</f>
        <v/>
      </c>
    </row>
    <row r="295">
      <c r="A295" s="3" t="n"/>
      <c r="B295" s="3" t="n"/>
      <c r="C295" s="3" t="n"/>
      <c r="D295" s="3" t="n"/>
      <c r="E295" s="3" t="n"/>
      <c r="F295" s="3" t="n"/>
      <c r="G295" s="9" t="n"/>
      <c r="H295" s="10" t="n"/>
      <c r="I295" s="10" t="n"/>
      <c r="J295" s="3" t="n"/>
      <c r="K295" s="9" t="n"/>
      <c r="L295" s="10" t="n"/>
      <c r="M295" s="10" t="n"/>
      <c r="N295" s="3" t="n"/>
      <c r="O295" s="10" t="n"/>
      <c r="P295" s="10" t="n"/>
      <c r="Q295" s="10" t="n"/>
      <c r="R295" s="6">
        <f>IF(COUNT(O295:Q295)=3,O295-P295-Q295,"")</f>
        <v/>
      </c>
      <c r="S295" s="3" t="n"/>
      <c r="T295" s="3" t="n"/>
      <c r="U295" s="10" t="n"/>
      <c r="V295" s="3" t="n"/>
      <c r="W295" s="7">
        <f>IF(AND(A295&lt;&gt;"",B295&lt;&gt;"",C295&lt;&gt;"",ISNUMBER(G295),ISNUMBER(K295),K295&lt;=G295,K295&gt;0,T295="낙찰",ISNUMBER(L295),L295&gt;0,ISNUMBER(U295),U295&gt;0,COUNTIFS(A$2:A$301,A295,B$2:B$301,B295,C$2:C$301,C295,G$2:G$301,G295)=1),"평가 가능","")</f>
        <v/>
      </c>
      <c r="X295" s="8">
        <f>IF(W295="평가 가능",(L295-U295)/U295,"")</f>
        <v/>
      </c>
      <c r="Y295" s="8">
        <f>IF(W295="평가 가능",ABS(X295),"")</f>
        <v/>
      </c>
      <c r="Z295" s="7">
        <f>IF(AND(ISNUMBER(M295),M295&gt;0,ISNUMBER(I295)),IF(M295&lt;I295,"최저가 미달",IF(M295=I295,"최저가 동액","최저가 초과")),"")</f>
        <v/>
      </c>
      <c r="AA295" s="7">
        <f>IF(AND(T295="낙찰",ISNUMBER(M295),M295&gt;0,ISNUMBER(U295)),IF(M295&lt;U295,"실제 낙찰가 미만",IF(M295=U295,"실제 낙찰가 동액","실제 낙찰가 초과")),"")</f>
        <v/>
      </c>
      <c r="AB295" s="7">
        <f>IF(AND(ISNUMBER(M295),M295&gt;0,ISNUMBER(R295)),IF(M295&lt;R295,"상한가 미만",IF(M295=R295,"상한가 동액","상한가 초과")),"")</f>
        <v/>
      </c>
      <c r="AC295" s="3" t="n"/>
      <c r="AD295" s="7">
        <f>IF(COUNTA(A295:Q295,S295:V295,AC295)=0,"",IF(OR(A295="",B295="",C295="",NOT(ISNUMBER(G295))),"식별값 확인",IF(COUNTIFS(A$2:A$301,A295,B$2:B$301,B295,C$2:C$301,C295,G$2:G$301,G295)&gt;1,"중복 회차",IF(AND(ISNUMBER(K295),K295&gt;G295),"기일 후 예측",IF(AND(T295="낙찰",W295=""),"평가 입력 확인","")))))</f>
        <v/>
      </c>
    </row>
    <row r="296">
      <c r="A296" s="2" t="n"/>
      <c r="B296" s="2" t="n"/>
      <c r="C296" s="2" t="n"/>
      <c r="D296" s="2" t="n"/>
      <c r="E296" s="2" t="n"/>
      <c r="F296" s="2" t="n"/>
      <c r="G296" s="4" t="n"/>
      <c r="H296" s="5" t="n"/>
      <c r="I296" s="5" t="n"/>
      <c r="J296" s="2" t="n"/>
      <c r="K296" s="4" t="n"/>
      <c r="L296" s="5" t="n"/>
      <c r="M296" s="5" t="n"/>
      <c r="N296" s="2" t="n"/>
      <c r="O296" s="5" t="n"/>
      <c r="P296" s="5" t="n"/>
      <c r="Q296" s="5" t="n"/>
      <c r="R296" s="6">
        <f>IF(COUNT(O296:Q296)=3,O296-P296-Q296,"")</f>
        <v/>
      </c>
      <c r="S296" s="2" t="n"/>
      <c r="T296" s="2" t="n"/>
      <c r="U296" s="5" t="n"/>
      <c r="V296" s="2" t="n"/>
      <c r="W296" s="7">
        <f>IF(AND(A296&lt;&gt;"",B296&lt;&gt;"",C296&lt;&gt;"",ISNUMBER(G296),ISNUMBER(K296),K296&lt;=G296,K296&gt;0,T296="낙찰",ISNUMBER(L296),L296&gt;0,ISNUMBER(U296),U296&gt;0,COUNTIFS(A$2:A$301,A296,B$2:B$301,B296,C$2:C$301,C296,G$2:G$301,G296)=1),"평가 가능","")</f>
        <v/>
      </c>
      <c r="X296" s="8">
        <f>IF(W296="평가 가능",(L296-U296)/U296,"")</f>
        <v/>
      </c>
      <c r="Y296" s="8">
        <f>IF(W296="평가 가능",ABS(X296),"")</f>
        <v/>
      </c>
      <c r="Z296" s="7">
        <f>IF(AND(ISNUMBER(M296),M296&gt;0,ISNUMBER(I296)),IF(M296&lt;I296,"최저가 미달",IF(M296=I296,"최저가 동액","최저가 초과")),"")</f>
        <v/>
      </c>
      <c r="AA296" s="7">
        <f>IF(AND(T296="낙찰",ISNUMBER(M296),M296&gt;0,ISNUMBER(U296)),IF(M296&lt;U296,"실제 낙찰가 미만",IF(M296=U296,"실제 낙찰가 동액","실제 낙찰가 초과")),"")</f>
        <v/>
      </c>
      <c r="AB296" s="7">
        <f>IF(AND(ISNUMBER(M296),M296&gt;0,ISNUMBER(R296)),IF(M296&lt;R296,"상한가 미만",IF(M296=R296,"상한가 동액","상한가 초과")),"")</f>
        <v/>
      </c>
      <c r="AC296" s="2" t="n"/>
      <c r="AD296" s="7">
        <f>IF(COUNTA(A296:Q296,S296:V296,AC296)=0,"",IF(OR(A296="",B296="",C296="",NOT(ISNUMBER(G296))),"식별값 확인",IF(COUNTIFS(A$2:A$301,A296,B$2:B$301,B296,C$2:C$301,C296,G$2:G$301,G296)&gt;1,"중복 회차",IF(AND(ISNUMBER(K296),K296&gt;G296),"기일 후 예측",IF(AND(T296="낙찰",W296=""),"평가 입력 확인","")))))</f>
        <v/>
      </c>
    </row>
    <row r="297">
      <c r="A297" s="3" t="n"/>
      <c r="B297" s="3" t="n"/>
      <c r="C297" s="3" t="n"/>
      <c r="D297" s="3" t="n"/>
      <c r="E297" s="3" t="n"/>
      <c r="F297" s="3" t="n"/>
      <c r="G297" s="9" t="n"/>
      <c r="H297" s="10" t="n"/>
      <c r="I297" s="10" t="n"/>
      <c r="J297" s="3" t="n"/>
      <c r="K297" s="9" t="n"/>
      <c r="L297" s="10" t="n"/>
      <c r="M297" s="10" t="n"/>
      <c r="N297" s="3" t="n"/>
      <c r="O297" s="10" t="n"/>
      <c r="P297" s="10" t="n"/>
      <c r="Q297" s="10" t="n"/>
      <c r="R297" s="6">
        <f>IF(COUNT(O297:Q297)=3,O297-P297-Q297,"")</f>
        <v/>
      </c>
      <c r="S297" s="3" t="n"/>
      <c r="T297" s="3" t="n"/>
      <c r="U297" s="10" t="n"/>
      <c r="V297" s="3" t="n"/>
      <c r="W297" s="7">
        <f>IF(AND(A297&lt;&gt;"",B297&lt;&gt;"",C297&lt;&gt;"",ISNUMBER(G297),ISNUMBER(K297),K297&lt;=G297,K297&gt;0,T297="낙찰",ISNUMBER(L297),L297&gt;0,ISNUMBER(U297),U297&gt;0,COUNTIFS(A$2:A$301,A297,B$2:B$301,B297,C$2:C$301,C297,G$2:G$301,G297)=1),"평가 가능","")</f>
        <v/>
      </c>
      <c r="X297" s="8">
        <f>IF(W297="평가 가능",(L297-U297)/U297,"")</f>
        <v/>
      </c>
      <c r="Y297" s="8">
        <f>IF(W297="평가 가능",ABS(X297),"")</f>
        <v/>
      </c>
      <c r="Z297" s="7">
        <f>IF(AND(ISNUMBER(M297),M297&gt;0,ISNUMBER(I297)),IF(M297&lt;I297,"최저가 미달",IF(M297=I297,"최저가 동액","최저가 초과")),"")</f>
        <v/>
      </c>
      <c r="AA297" s="7">
        <f>IF(AND(T297="낙찰",ISNUMBER(M297),M297&gt;0,ISNUMBER(U297)),IF(M297&lt;U297,"실제 낙찰가 미만",IF(M297=U297,"실제 낙찰가 동액","실제 낙찰가 초과")),"")</f>
        <v/>
      </c>
      <c r="AB297" s="7">
        <f>IF(AND(ISNUMBER(M297),M297&gt;0,ISNUMBER(R297)),IF(M297&lt;R297,"상한가 미만",IF(M297=R297,"상한가 동액","상한가 초과")),"")</f>
        <v/>
      </c>
      <c r="AC297" s="3" t="n"/>
      <c r="AD297" s="7">
        <f>IF(COUNTA(A297:Q297,S297:V297,AC297)=0,"",IF(OR(A297="",B297="",C297="",NOT(ISNUMBER(G297))),"식별값 확인",IF(COUNTIFS(A$2:A$301,A297,B$2:B$301,B297,C$2:C$301,C297,G$2:G$301,G297)&gt;1,"중복 회차",IF(AND(ISNUMBER(K297),K297&gt;G297),"기일 후 예측",IF(AND(T297="낙찰",W297=""),"평가 입력 확인","")))))</f>
        <v/>
      </c>
    </row>
    <row r="298">
      <c r="A298" s="2" t="n"/>
      <c r="B298" s="2" t="n"/>
      <c r="C298" s="2" t="n"/>
      <c r="D298" s="2" t="n"/>
      <c r="E298" s="2" t="n"/>
      <c r="F298" s="2" t="n"/>
      <c r="G298" s="4" t="n"/>
      <c r="H298" s="5" t="n"/>
      <c r="I298" s="5" t="n"/>
      <c r="J298" s="2" t="n"/>
      <c r="K298" s="4" t="n"/>
      <c r="L298" s="5" t="n"/>
      <c r="M298" s="5" t="n"/>
      <c r="N298" s="2" t="n"/>
      <c r="O298" s="5" t="n"/>
      <c r="P298" s="5" t="n"/>
      <c r="Q298" s="5" t="n"/>
      <c r="R298" s="6">
        <f>IF(COUNT(O298:Q298)=3,O298-P298-Q298,"")</f>
        <v/>
      </c>
      <c r="S298" s="2" t="n"/>
      <c r="T298" s="2" t="n"/>
      <c r="U298" s="5" t="n"/>
      <c r="V298" s="2" t="n"/>
      <c r="W298" s="7">
        <f>IF(AND(A298&lt;&gt;"",B298&lt;&gt;"",C298&lt;&gt;"",ISNUMBER(G298),ISNUMBER(K298),K298&lt;=G298,K298&gt;0,T298="낙찰",ISNUMBER(L298),L298&gt;0,ISNUMBER(U298),U298&gt;0,COUNTIFS(A$2:A$301,A298,B$2:B$301,B298,C$2:C$301,C298,G$2:G$301,G298)=1),"평가 가능","")</f>
        <v/>
      </c>
      <c r="X298" s="8">
        <f>IF(W298="평가 가능",(L298-U298)/U298,"")</f>
        <v/>
      </c>
      <c r="Y298" s="8">
        <f>IF(W298="평가 가능",ABS(X298),"")</f>
        <v/>
      </c>
      <c r="Z298" s="7">
        <f>IF(AND(ISNUMBER(M298),M298&gt;0,ISNUMBER(I298)),IF(M298&lt;I298,"최저가 미달",IF(M298=I298,"최저가 동액","최저가 초과")),"")</f>
        <v/>
      </c>
      <c r="AA298" s="7">
        <f>IF(AND(T298="낙찰",ISNUMBER(M298),M298&gt;0,ISNUMBER(U298)),IF(M298&lt;U298,"실제 낙찰가 미만",IF(M298=U298,"실제 낙찰가 동액","실제 낙찰가 초과")),"")</f>
        <v/>
      </c>
      <c r="AB298" s="7">
        <f>IF(AND(ISNUMBER(M298),M298&gt;0,ISNUMBER(R298)),IF(M298&lt;R298,"상한가 미만",IF(M298=R298,"상한가 동액","상한가 초과")),"")</f>
        <v/>
      </c>
      <c r="AC298" s="2" t="n"/>
      <c r="AD298" s="7">
        <f>IF(COUNTA(A298:Q298,S298:V298,AC298)=0,"",IF(OR(A298="",B298="",C298="",NOT(ISNUMBER(G298))),"식별값 확인",IF(COUNTIFS(A$2:A$301,A298,B$2:B$301,B298,C$2:C$301,C298,G$2:G$301,G298)&gt;1,"중복 회차",IF(AND(ISNUMBER(K298),K298&gt;G298),"기일 후 예측",IF(AND(T298="낙찰",W298=""),"평가 입력 확인","")))))</f>
        <v/>
      </c>
    </row>
    <row r="299">
      <c r="A299" s="3" t="n"/>
      <c r="B299" s="3" t="n"/>
      <c r="C299" s="3" t="n"/>
      <c r="D299" s="3" t="n"/>
      <c r="E299" s="3" t="n"/>
      <c r="F299" s="3" t="n"/>
      <c r="G299" s="9" t="n"/>
      <c r="H299" s="10" t="n"/>
      <c r="I299" s="10" t="n"/>
      <c r="J299" s="3" t="n"/>
      <c r="K299" s="9" t="n"/>
      <c r="L299" s="10" t="n"/>
      <c r="M299" s="10" t="n"/>
      <c r="N299" s="3" t="n"/>
      <c r="O299" s="10" t="n"/>
      <c r="P299" s="10" t="n"/>
      <c r="Q299" s="10" t="n"/>
      <c r="R299" s="6">
        <f>IF(COUNT(O299:Q299)=3,O299-P299-Q299,"")</f>
        <v/>
      </c>
      <c r="S299" s="3" t="n"/>
      <c r="T299" s="3" t="n"/>
      <c r="U299" s="10" t="n"/>
      <c r="V299" s="3" t="n"/>
      <c r="W299" s="7">
        <f>IF(AND(A299&lt;&gt;"",B299&lt;&gt;"",C299&lt;&gt;"",ISNUMBER(G299),ISNUMBER(K299),K299&lt;=G299,K299&gt;0,T299="낙찰",ISNUMBER(L299),L299&gt;0,ISNUMBER(U299),U299&gt;0,COUNTIFS(A$2:A$301,A299,B$2:B$301,B299,C$2:C$301,C299,G$2:G$301,G299)=1),"평가 가능","")</f>
        <v/>
      </c>
      <c r="X299" s="8">
        <f>IF(W299="평가 가능",(L299-U299)/U299,"")</f>
        <v/>
      </c>
      <c r="Y299" s="8">
        <f>IF(W299="평가 가능",ABS(X299),"")</f>
        <v/>
      </c>
      <c r="Z299" s="7">
        <f>IF(AND(ISNUMBER(M299),M299&gt;0,ISNUMBER(I299)),IF(M299&lt;I299,"최저가 미달",IF(M299=I299,"최저가 동액","최저가 초과")),"")</f>
        <v/>
      </c>
      <c r="AA299" s="7">
        <f>IF(AND(T299="낙찰",ISNUMBER(M299),M299&gt;0,ISNUMBER(U299)),IF(M299&lt;U299,"실제 낙찰가 미만",IF(M299=U299,"실제 낙찰가 동액","실제 낙찰가 초과")),"")</f>
        <v/>
      </c>
      <c r="AB299" s="7">
        <f>IF(AND(ISNUMBER(M299),M299&gt;0,ISNUMBER(R299)),IF(M299&lt;R299,"상한가 미만",IF(M299=R299,"상한가 동액","상한가 초과")),"")</f>
        <v/>
      </c>
      <c r="AC299" s="3" t="n"/>
      <c r="AD299" s="7">
        <f>IF(COUNTA(A299:Q299,S299:V299,AC299)=0,"",IF(OR(A299="",B299="",C299="",NOT(ISNUMBER(G299))),"식별값 확인",IF(COUNTIFS(A$2:A$301,A299,B$2:B$301,B299,C$2:C$301,C299,G$2:G$301,G299)&gt;1,"중복 회차",IF(AND(ISNUMBER(K299),K299&gt;G299),"기일 후 예측",IF(AND(T299="낙찰",W299=""),"평가 입력 확인","")))))</f>
        <v/>
      </c>
    </row>
    <row r="300">
      <c r="A300" s="2" t="n"/>
      <c r="B300" s="2" t="n"/>
      <c r="C300" s="2" t="n"/>
      <c r="D300" s="2" t="n"/>
      <c r="E300" s="2" t="n"/>
      <c r="F300" s="2" t="n"/>
      <c r="G300" s="4" t="n"/>
      <c r="H300" s="5" t="n"/>
      <c r="I300" s="5" t="n"/>
      <c r="J300" s="2" t="n"/>
      <c r="K300" s="4" t="n"/>
      <c r="L300" s="5" t="n"/>
      <c r="M300" s="5" t="n"/>
      <c r="N300" s="2" t="n"/>
      <c r="O300" s="5" t="n"/>
      <c r="P300" s="5" t="n"/>
      <c r="Q300" s="5" t="n"/>
      <c r="R300" s="6">
        <f>IF(COUNT(O300:Q300)=3,O300-P300-Q300,"")</f>
        <v/>
      </c>
      <c r="S300" s="2" t="n"/>
      <c r="T300" s="2" t="n"/>
      <c r="U300" s="5" t="n"/>
      <c r="V300" s="2" t="n"/>
      <c r="W300" s="7">
        <f>IF(AND(A300&lt;&gt;"",B300&lt;&gt;"",C300&lt;&gt;"",ISNUMBER(G300),ISNUMBER(K300),K300&lt;=G300,K300&gt;0,T300="낙찰",ISNUMBER(L300),L300&gt;0,ISNUMBER(U300),U300&gt;0,COUNTIFS(A$2:A$301,A300,B$2:B$301,B300,C$2:C$301,C300,G$2:G$301,G300)=1),"평가 가능","")</f>
        <v/>
      </c>
      <c r="X300" s="8">
        <f>IF(W300="평가 가능",(L300-U300)/U300,"")</f>
        <v/>
      </c>
      <c r="Y300" s="8">
        <f>IF(W300="평가 가능",ABS(X300),"")</f>
        <v/>
      </c>
      <c r="Z300" s="7">
        <f>IF(AND(ISNUMBER(M300),M300&gt;0,ISNUMBER(I300)),IF(M300&lt;I300,"최저가 미달",IF(M300=I300,"최저가 동액","최저가 초과")),"")</f>
        <v/>
      </c>
      <c r="AA300" s="7">
        <f>IF(AND(T300="낙찰",ISNUMBER(M300),M300&gt;0,ISNUMBER(U300)),IF(M300&lt;U300,"실제 낙찰가 미만",IF(M300=U300,"실제 낙찰가 동액","실제 낙찰가 초과")),"")</f>
        <v/>
      </c>
      <c r="AB300" s="7">
        <f>IF(AND(ISNUMBER(M300),M300&gt;0,ISNUMBER(R300)),IF(M300&lt;R300,"상한가 미만",IF(M300=R300,"상한가 동액","상한가 초과")),"")</f>
        <v/>
      </c>
      <c r="AC300" s="2" t="n"/>
      <c r="AD300" s="7">
        <f>IF(COUNTA(A300:Q300,S300:V300,AC300)=0,"",IF(OR(A300="",B300="",C300="",NOT(ISNUMBER(G300))),"식별값 확인",IF(COUNTIFS(A$2:A$301,A300,B$2:B$301,B300,C$2:C$301,C300,G$2:G$301,G300)&gt;1,"중복 회차",IF(AND(ISNUMBER(K300),K300&gt;G300),"기일 후 예측",IF(AND(T300="낙찰",W300=""),"평가 입력 확인","")))))</f>
        <v/>
      </c>
    </row>
    <row r="301">
      <c r="A301" s="3" t="n"/>
      <c r="B301" s="3" t="n"/>
      <c r="C301" s="3" t="n"/>
      <c r="D301" s="3" t="n"/>
      <c r="E301" s="3" t="n"/>
      <c r="F301" s="3" t="n"/>
      <c r="G301" s="9" t="n"/>
      <c r="H301" s="10" t="n"/>
      <c r="I301" s="10" t="n"/>
      <c r="J301" s="3" t="n"/>
      <c r="K301" s="9" t="n"/>
      <c r="L301" s="10" t="n"/>
      <c r="M301" s="10" t="n"/>
      <c r="N301" s="3" t="n"/>
      <c r="O301" s="10" t="n"/>
      <c r="P301" s="10" t="n"/>
      <c r="Q301" s="10" t="n"/>
      <c r="R301" s="6">
        <f>IF(COUNT(O301:Q301)=3,O301-P301-Q301,"")</f>
        <v/>
      </c>
      <c r="S301" s="3" t="n"/>
      <c r="T301" s="3" t="n"/>
      <c r="U301" s="10" t="n"/>
      <c r="V301" s="3" t="n"/>
      <c r="W301" s="7">
        <f>IF(AND(A301&lt;&gt;"",B301&lt;&gt;"",C301&lt;&gt;"",ISNUMBER(G301),ISNUMBER(K301),K301&lt;=G301,K301&gt;0,T301="낙찰",ISNUMBER(L301),L301&gt;0,ISNUMBER(U301),U301&gt;0,COUNTIFS(A$2:A$301,A301,B$2:B$301,B301,C$2:C$301,C301,G$2:G$301,G301)=1),"평가 가능","")</f>
        <v/>
      </c>
      <c r="X301" s="8">
        <f>IF(W301="평가 가능",(L301-U301)/U301,"")</f>
        <v/>
      </c>
      <c r="Y301" s="8">
        <f>IF(W301="평가 가능",ABS(X301),"")</f>
        <v/>
      </c>
      <c r="Z301" s="7">
        <f>IF(AND(ISNUMBER(M301),M301&gt;0,ISNUMBER(I301)),IF(M301&lt;I301,"최저가 미달",IF(M301=I301,"최저가 동액","최저가 초과")),"")</f>
        <v/>
      </c>
      <c r="AA301" s="7">
        <f>IF(AND(T301="낙찰",ISNUMBER(M301),M301&gt;0,ISNUMBER(U301)),IF(M301&lt;U301,"실제 낙찰가 미만",IF(M301=U301,"실제 낙찰가 동액","실제 낙찰가 초과")),"")</f>
        <v/>
      </c>
      <c r="AB301" s="7">
        <f>IF(AND(ISNUMBER(M301),M301&gt;0,ISNUMBER(R301)),IF(M301&lt;R301,"상한가 미만",IF(M301=R301,"상한가 동액","상한가 초과")),"")</f>
        <v/>
      </c>
      <c r="AC301" s="3" t="n"/>
      <c r="AD301" s="7">
        <f>IF(COUNTA(A301:Q301,S301:V301,AC301)=0,"",IF(OR(A301="",B301="",C301="",NOT(ISNUMBER(G301))),"식별값 확인",IF(COUNTIFS(A$2:A$301,A301,B$2:B$301,B301,C$2:C$301,C301,G$2:G$301,G301)&gt;1,"중복 회차",IF(AND(ISNUMBER(K301),K301&gt;G301),"기일 후 예측",IF(AND(T301="낙찰",W301=""),"평가 입력 확인","")))))</f>
        <v/>
      </c>
    </row>
  </sheetData>
  <autoFilter ref="A1:AD301"/>
  <dataValidations count="2">
    <dataValidation sqref="E2:E301" showDropDown="0" showInputMessage="0" showErrorMessage="1" allowBlank="1" errorTitle="목록에서 선택" error="허용된 값을 선택하세요." type="list">
      <formula1>"아파트,다세대,단독주택,오피스텔,상가,토지,기타"</formula1>
    </dataValidation>
    <dataValidation sqref="T2:T301" showDropDown="0" showInputMessage="0" showErrorMessage="1" allowBlank="1" errorTitle="목록에서 선택" error="허용된 값을 선택하세요." type="list">
      <formula1>"미확인,낙찰,유찰,변경,연기,취하,기각"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2" customHeight="1">
      <c r="A1" s="1" t="inlineStr">
        <is>
          <t>지표</t>
        </is>
      </c>
      <c r="B1" s="1" t="inlineStr">
        <is>
          <t>값</t>
        </is>
      </c>
    </row>
    <row r="2">
      <c r="A2" s="2" t="inlineStr">
        <is>
          <t>평가 가능한 건수</t>
        </is>
      </c>
      <c r="B2" s="7">
        <f>COUNT('물건 기록'!Y2:Y301)</f>
        <v/>
      </c>
    </row>
    <row r="3">
      <c r="A3" s="3" t="inlineStr">
        <is>
          <t>평균 절대 오차율</t>
        </is>
      </c>
      <c r="B3" s="8">
        <f>IF(B2=0,"",AVERAGE('물건 기록'!Y2:Y301))</f>
        <v/>
      </c>
    </row>
    <row r="4">
      <c r="A4" s="2" t="inlineStr">
        <is>
          <t>평균 예측 오차율</t>
        </is>
      </c>
      <c r="B4" s="8">
        <f>IF(B2=0,"",AVERAGE('물건 기록'!X2:X301))</f>
        <v/>
      </c>
    </row>
    <row r="5">
      <c r="A5" s="3" t="inlineStr">
        <is>
          <t>오차 5% 이내 건수</t>
        </is>
      </c>
      <c r="B5" s="7">
        <f>COUNTIF('물건 기록'!Y2:Y301,"&lt;=0.05")</f>
        <v/>
      </c>
    </row>
    <row r="6">
      <c r="A6" s="2" t="inlineStr">
        <is>
          <t>오차 5% 이내 비율</t>
        </is>
      </c>
      <c r="B6" s="8">
        <f>IF(B2=0,"",B5/B2)</f>
        <v/>
      </c>
    </row>
    <row r="7">
      <c r="A7" s="3" t="inlineStr">
        <is>
          <t>해석</t>
        </is>
      </c>
      <c r="B7" s="3" t="inlineStr">
        <is>
          <t>평균 절대 오차율은 정확도, 평균 예측 오차율은 과대·과소 편향입니다.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2" customHeight="1">
      <c r="A1" s="1" t="inlineStr">
        <is>
          <t>법원</t>
        </is>
      </c>
      <c r="B1" s="1" t="inlineStr">
        <is>
          <t>사건번호</t>
        </is>
      </c>
      <c r="C1" s="1" t="inlineStr">
        <is>
          <t>물건번호</t>
        </is>
      </c>
      <c r="D1" s="1" t="inlineStr">
        <is>
          <t>매각기일</t>
        </is>
      </c>
      <c r="E1" s="1" t="inlineStr">
        <is>
          <t>변경 시각</t>
        </is>
      </c>
      <c r="F1" s="1" t="inlineStr">
        <is>
          <t>변경 항목</t>
        </is>
      </c>
      <c r="G1" s="1" t="inlineStr">
        <is>
          <t>수정 전 값</t>
        </is>
      </c>
      <c r="H1" s="1" t="inlineStr">
        <is>
          <t>수정 후 값</t>
        </is>
      </c>
      <c r="I1" s="1" t="inlineStr">
        <is>
          <t>변경 사유</t>
        </is>
      </c>
      <c r="J1" s="1" t="inlineStr">
        <is>
          <t>결과 확인 전 여부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2026-10-21T14:52:39Z</dcterms:created>
  <dcterms:modified xsi:type="dcterms:W3CDTF">2026-10-21T14:52:40Z</dcterms:modified>
</cp:coreProperties>
</file>